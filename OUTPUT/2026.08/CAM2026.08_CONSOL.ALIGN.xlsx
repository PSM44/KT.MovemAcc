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_CONSOL_2026.08" sheetId="1" state="visible" r:id="rId1"/>
    <sheet name="AUDIT" sheetId="2" state="visible" r:id="rId2"/>
    <sheet name="RAW_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"/>
    </font>
    <font>
      <b val="1"/>
      <sz val="10"/>
    </font>
    <font>
      <sz val="10"/>
    </font>
    <font>
      <i val="1"/>
      <color rgb="00999999"/>
      <sz val="10"/>
    </font>
    <font>
      <b val="1"/>
      <i val="1"/>
      <sz val="10"/>
    </font>
    <font>
      <b val="1"/>
      <sz val="11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horizontal="center" wrapText="1"/>
    </xf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0" fillId="5" borderId="0" pivotButton="0" quotePrefix="0" xfId="0"/>
    <xf numFmtId="0" fontId="6" fillId="5" borderId="0" pivotButton="0" quotePrefix="0" xfId="0"/>
    <xf numFmtId="0" fontId="3" fillId="6" borderId="0" pivotButton="0" quotePrefix="0" xfId="0"/>
    <xf numFmtId="0" fontId="8" fillId="0" borderId="0" pivotButton="0" quotePrefix="0" xfId="0"/>
    <xf numFmtId="0" fontId="0" fillId="7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22" customHeight="1">
      <c r="A1" s="1" t="inlineStr">
        <is>
          <t>CUENTAS DE MAYOR CONSOLIDADO — AGOSTO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CODIGO</t>
        </is>
      </c>
      <c r="B2" s="3" t="inlineStr">
        <is>
          <t>DESCRIPCION</t>
        </is>
      </c>
      <c r="C2" s="3" t="inlineStr">
        <is>
          <t>EP_DEB_UF</t>
        </is>
      </c>
      <c r="D2" s="3" t="inlineStr">
        <is>
          <t>EP_CRED_UF</t>
        </is>
      </c>
      <c r="E2" s="3" t="inlineStr">
        <is>
          <t>EP_BAL_UF</t>
        </is>
      </c>
      <c r="F2" s="3" t="inlineStr">
        <is>
          <t>IM_DEB_UF</t>
        </is>
      </c>
      <c r="G2" s="3" t="inlineStr">
        <is>
          <t>IM_CRED_UF</t>
        </is>
      </c>
      <c r="H2" s="3" t="inlineStr">
        <is>
          <t>IM_BAL_UF</t>
        </is>
      </c>
      <c r="I2" s="3" t="inlineStr">
        <is>
          <t>CONSOL_DEB_UF</t>
        </is>
      </c>
      <c r="J2" s="3" t="inlineStr">
        <is>
          <t>CONSOL_CRED_UF</t>
        </is>
      </c>
      <c r="K2" s="3" t="inlineStr">
        <is>
          <t>CONSOL_BAL_UF</t>
        </is>
      </c>
      <c r="L2" s="3" t="inlineStr">
        <is>
          <t>EP_DEB_CLP</t>
        </is>
      </c>
      <c r="M2" s="3" t="inlineStr">
        <is>
          <t>EP_CRED_CLP</t>
        </is>
      </c>
      <c r="N2" s="3" t="inlineStr">
        <is>
          <t>EP_BAL_CLP</t>
        </is>
      </c>
      <c r="O2" s="3" t="inlineStr">
        <is>
          <t>IM_DEB_CLP</t>
        </is>
      </c>
      <c r="P2" s="3" t="inlineStr">
        <is>
          <t>IM_CRED_CLP</t>
        </is>
      </c>
      <c r="Q2" s="3" t="inlineStr">
        <is>
          <t>IM_BAL_CLP</t>
        </is>
      </c>
      <c r="R2" s="3" t="inlineStr">
        <is>
          <t>CONSOL_DEB_CLP</t>
        </is>
      </c>
      <c r="S2" s="3" t="inlineStr">
        <is>
          <t>CONSOL_CRED_CLP</t>
        </is>
      </c>
      <c r="T2" s="3" t="inlineStr">
        <is>
          <t>CONSOL_BAL_CLP</t>
        </is>
      </c>
    </row>
    <row r="3" ht="18" customHeight="1">
      <c r="A3" s="1" t="inlineStr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4" t="inlineStr">
        <is>
          <t>EFECTIVO O EFECTIVO EQUIVALENTE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>
      <c r="A5" s="6" t="inlineStr">
        <is>
          <t>110111</t>
        </is>
      </c>
      <c r="B5" s="6" t="inlineStr">
        <is>
          <t>Caja</t>
        </is>
      </c>
      <c r="C5" s="6" t="n">
        <v>25.17</v>
      </c>
      <c r="D5" s="6" t="n">
        <v>0</v>
      </c>
      <c r="E5" s="6" t="n">
        <v>25.17</v>
      </c>
      <c r="F5" s="6" t="n">
        <v>0</v>
      </c>
      <c r="G5" s="6" t="n">
        <v>0</v>
      </c>
      <c r="H5" s="6" t="n">
        <v>0</v>
      </c>
      <c r="I5" s="6">
        <f>C5+F5</f>
        <v/>
      </c>
      <c r="J5" s="6">
        <f>D5+G5</f>
        <v/>
      </c>
      <c r="K5" s="6">
        <f>E5+H5</f>
        <v/>
      </c>
      <c r="L5" s="6" t="n">
        <v>1000000</v>
      </c>
      <c r="M5" s="6" t="n">
        <v>0</v>
      </c>
      <c r="N5" s="6" t="n">
        <v>1000000</v>
      </c>
      <c r="O5" s="6" t="n">
        <v>0</v>
      </c>
      <c r="P5" s="6" t="n">
        <v>0</v>
      </c>
      <c r="Q5" s="6" t="n">
        <v>0</v>
      </c>
      <c r="R5" s="6">
        <f>L5+O5</f>
        <v/>
      </c>
      <c r="S5" s="6">
        <f>M5+P5</f>
        <v/>
      </c>
      <c r="T5" s="6">
        <f>N5+Q5</f>
        <v/>
      </c>
    </row>
    <row r="6" hidden="1">
      <c r="A6" s="7" t="inlineStr">
        <is>
          <t>110113</t>
        </is>
      </c>
      <c r="B6" s="7" t="inlineStr">
        <is>
          <t>Fondo Fijo</t>
        </is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>
        <f>C6+F6</f>
        <v/>
      </c>
      <c r="J6" s="7">
        <f>D6+G6</f>
        <v/>
      </c>
      <c r="K6" s="7">
        <f>E6+H6</f>
        <v/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>
        <f>L6+O6</f>
        <v/>
      </c>
      <c r="S6" s="7">
        <f>M6+P6</f>
        <v/>
      </c>
      <c r="T6" s="7">
        <f>N6+Q6</f>
        <v/>
      </c>
    </row>
    <row r="7">
      <c r="A7" s="6" t="inlineStr">
        <is>
          <t>110121</t>
        </is>
      </c>
      <c r="B7" s="6" t="inlineStr">
        <is>
          <t>Banco BCI N° 10682066 / Banco BCI N° 10693785</t>
        </is>
      </c>
      <c r="C7" s="6" t="n">
        <v>118898.3199999999</v>
      </c>
      <c r="D7" s="6" t="n">
        <v>118752.63</v>
      </c>
      <c r="E7" s="6" t="n">
        <v>145.6899999999296</v>
      </c>
      <c r="F7" s="6" t="n">
        <v>2511</v>
      </c>
      <c r="G7" s="6" t="n">
        <v>2445.31</v>
      </c>
      <c r="H7" s="6" t="n">
        <v>65.69000000000005</v>
      </c>
      <c r="I7" s="6">
        <f>C7+F7</f>
        <v/>
      </c>
      <c r="J7" s="6">
        <f>D7+G7</f>
        <v/>
      </c>
      <c r="K7" s="6">
        <f>E7+H7</f>
        <v/>
      </c>
      <c r="L7" s="6" t="n">
        <v>4765247732</v>
      </c>
      <c r="M7" s="6" t="n">
        <v>4759731850</v>
      </c>
      <c r="N7" s="6" t="n">
        <v>5515882</v>
      </c>
      <c r="O7" s="6" t="n">
        <v>101623643</v>
      </c>
      <c r="P7" s="6" t="n">
        <v>99002973</v>
      </c>
      <c r="Q7" s="6" t="n">
        <v>2620670</v>
      </c>
      <c r="R7" s="6">
        <f>L7+O7</f>
        <v/>
      </c>
      <c r="S7" s="6">
        <f>M7+P7</f>
        <v/>
      </c>
      <c r="T7" s="6">
        <f>N7+Q7</f>
        <v/>
      </c>
    </row>
    <row r="8" hidden="1">
      <c r="A8" s="7" t="inlineStr">
        <is>
          <t>110122</t>
        </is>
      </c>
      <c r="B8" s="7" t="inlineStr">
        <is>
          <t>Banco Santander N° 7467536</t>
        </is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>
        <f>C8+F8</f>
        <v/>
      </c>
      <c r="J8" s="7">
        <f>D8+G8</f>
        <v/>
      </c>
      <c r="K8" s="7">
        <f>E8+H8</f>
        <v/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>
        <f>L8+O8</f>
        <v/>
      </c>
      <c r="S8" s="7">
        <f>M8+P8</f>
        <v/>
      </c>
      <c r="T8" s="7">
        <f>N8+Q8</f>
        <v/>
      </c>
    </row>
    <row r="9">
      <c r="A9" s="4" t="inlineStr">
        <is>
          <t>VALORES NEGOCIABLES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 hidden="1">
      <c r="A10" s="7" t="inlineStr">
        <is>
          <t>110211</t>
        </is>
      </c>
      <c r="B10" s="7" t="inlineStr">
        <is>
          <t>Depositos a Plazo en Pesos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>
        <f>C10+F10</f>
        <v/>
      </c>
      <c r="J10" s="7">
        <f>D10+G10</f>
        <v/>
      </c>
      <c r="K10" s="7">
        <f>E10+H10</f>
        <v/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>
        <f>L10+O10</f>
        <v/>
      </c>
      <c r="S10" s="7">
        <f>M10+P10</f>
        <v/>
      </c>
      <c r="T10" s="7">
        <f>N10+Q10</f>
        <v/>
      </c>
    </row>
    <row r="11">
      <c r="A11" s="4" t="inlineStr">
        <is>
          <t>VALORES NEGOCIABLES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6" t="inlineStr">
        <is>
          <t>110315</t>
        </is>
      </c>
      <c r="B12" s="6" t="inlineStr">
        <is>
          <t>Cuota Fondos Mutuos</t>
        </is>
      </c>
      <c r="C12" s="6" t="n">
        <v>25916.03</v>
      </c>
      <c r="D12" s="6" t="n">
        <v>21366.93</v>
      </c>
      <c r="E12" s="6" t="n">
        <v>4549.099999999999</v>
      </c>
      <c r="F12" s="6" t="n">
        <v>0</v>
      </c>
      <c r="G12" s="6" t="n">
        <v>0</v>
      </c>
      <c r="H12" s="6" t="n">
        <v>0</v>
      </c>
      <c r="I12" s="6">
        <f>C12+F12</f>
        <v/>
      </c>
      <c r="J12" s="6">
        <f>D12+G12</f>
        <v/>
      </c>
      <c r="K12" s="6">
        <f>E12+H12</f>
        <v/>
      </c>
      <c r="L12" s="6" t="n">
        <v>1042874770</v>
      </c>
      <c r="M12" s="6" t="n">
        <v>862000000</v>
      </c>
      <c r="N12" s="6" t="n">
        <v>180874770</v>
      </c>
      <c r="O12" s="6" t="n">
        <v>0</v>
      </c>
      <c r="P12" s="6" t="n">
        <v>0</v>
      </c>
      <c r="Q12" s="6" t="n">
        <v>0</v>
      </c>
      <c r="R12" s="6">
        <f>L12+O12</f>
        <v/>
      </c>
      <c r="S12" s="6">
        <f>M12+P12</f>
        <v/>
      </c>
      <c r="T12" s="6">
        <f>N12+Q12</f>
        <v/>
      </c>
    </row>
    <row r="13">
      <c r="A13" s="4" t="inlineStr">
        <is>
          <t>DEUDORES POR PROMESAS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6" t="inlineStr">
        <is>
          <t>110511</t>
        </is>
      </c>
      <c r="B14" s="6" t="inlineStr">
        <is>
          <t>Deudores por Promesas</t>
        </is>
      </c>
      <c r="C14" s="6" t="n">
        <v>154646.21</v>
      </c>
      <c r="D14" s="6" t="n">
        <v>31369.45</v>
      </c>
      <c r="E14" s="6" t="n">
        <v>123276.76</v>
      </c>
      <c r="F14" s="6" t="n">
        <v>0</v>
      </c>
      <c r="G14" s="6" t="n">
        <v>0</v>
      </c>
      <c r="H14" s="6" t="n">
        <v>0</v>
      </c>
      <c r="I14" s="6">
        <f>C14+F14</f>
        <v/>
      </c>
      <c r="J14" s="6">
        <f>D14+G14</f>
        <v/>
      </c>
      <c r="K14" s="6">
        <f>E14+H14</f>
        <v/>
      </c>
      <c r="L14" s="6" t="n">
        <v>6195207719</v>
      </c>
      <c r="M14" s="6" t="n">
        <v>1260557926</v>
      </c>
      <c r="N14" s="6" t="n">
        <v>4934649793</v>
      </c>
      <c r="O14" s="6" t="n">
        <v>0</v>
      </c>
      <c r="P14" s="6" t="n">
        <v>0</v>
      </c>
      <c r="Q14" s="6" t="n">
        <v>0</v>
      </c>
      <c r="R14" s="6">
        <f>L14+O14</f>
        <v/>
      </c>
      <c r="S14" s="6">
        <f>M14+P14</f>
        <v/>
      </c>
      <c r="T14" s="6">
        <f>N14+Q14</f>
        <v/>
      </c>
    </row>
    <row r="15">
      <c r="A15" s="4" t="inlineStr">
        <is>
          <t>DEUDORES POR VENTAS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</row>
    <row r="16" hidden="1">
      <c r="A16" s="7" t="inlineStr">
        <is>
          <t>110521</t>
        </is>
      </c>
      <c r="B16" s="7" t="inlineStr">
        <is>
          <t>Deudores por Escrituras</t>
        </is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>
        <f>C16+F16</f>
        <v/>
      </c>
      <c r="J16" s="7">
        <f>D16+G16</f>
        <v/>
      </c>
      <c r="K16" s="7">
        <f>E16+H16</f>
        <v/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>
        <f>L16+O16</f>
        <v/>
      </c>
      <c r="S16" s="7">
        <f>M16+P16</f>
        <v/>
      </c>
      <c r="T16" s="7">
        <f>N16+Q16</f>
        <v/>
      </c>
    </row>
    <row r="17">
      <c r="A17" s="4" t="inlineStr">
        <is>
          <t>DEUDORES VARIOS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</row>
    <row r="18" hidden="1">
      <c r="A18" s="7" t="inlineStr">
        <is>
          <t>110561</t>
        </is>
      </c>
      <c r="B18" s="7" t="inlineStr">
        <is>
          <t>Deudores Varios</t>
        </is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>
        <f>C18+F18</f>
        <v/>
      </c>
      <c r="J18" s="7">
        <f>D18+G18</f>
        <v/>
      </c>
      <c r="K18" s="7">
        <f>E18+H18</f>
        <v/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>
        <f>L18+O18</f>
        <v/>
      </c>
      <c r="S18" s="7">
        <f>M18+P18</f>
        <v/>
      </c>
      <c r="T18" s="7">
        <f>N18+Q18</f>
        <v/>
      </c>
    </row>
    <row r="19" hidden="1">
      <c r="A19" s="7" t="inlineStr">
        <is>
          <t>110562</t>
        </is>
      </c>
      <c r="B19" s="7" t="inlineStr">
        <is>
          <t>Anticipo de Honorarios</t>
        </is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>
        <f>C19+F19</f>
        <v/>
      </c>
      <c r="J19" s="7">
        <f>D19+G19</f>
        <v/>
      </c>
      <c r="K19" s="7">
        <f>E19+H19</f>
        <v/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>
        <f>L19+O19</f>
        <v/>
      </c>
      <c r="S19" s="7">
        <f>M19+P19</f>
        <v/>
      </c>
      <c r="T19" s="7">
        <f>N19+Q19</f>
        <v/>
      </c>
    </row>
    <row r="20">
      <c r="A20" s="6" t="inlineStr">
        <is>
          <t>110563</t>
        </is>
      </c>
      <c r="B20" s="6" t="inlineStr">
        <is>
          <t>Anticipo Proveedores</t>
        </is>
      </c>
      <c r="C20" s="6" t="n">
        <v>2624.89</v>
      </c>
      <c r="D20" s="6" t="n">
        <v>2520.01</v>
      </c>
      <c r="E20" s="6" t="n">
        <v>104.8800000000006</v>
      </c>
      <c r="F20" s="6" t="n">
        <v>0</v>
      </c>
      <c r="G20" s="6" t="n">
        <v>0</v>
      </c>
      <c r="H20" s="6" t="n">
        <v>0</v>
      </c>
      <c r="I20" s="6">
        <f>C20+F20</f>
        <v/>
      </c>
      <c r="J20" s="6">
        <f>D20+G20</f>
        <v/>
      </c>
      <c r="K20" s="6">
        <f>E20+H20</f>
        <v/>
      </c>
      <c r="L20" s="6" t="n">
        <v>105115364</v>
      </c>
      <c r="M20" s="6" t="n">
        <v>100831364</v>
      </c>
      <c r="N20" s="6" t="n">
        <v>4284000</v>
      </c>
      <c r="O20" s="6" t="n">
        <v>0</v>
      </c>
      <c r="P20" s="6" t="n">
        <v>0</v>
      </c>
      <c r="Q20" s="6" t="n">
        <v>0</v>
      </c>
      <c r="R20" s="6">
        <f>L20+O20</f>
        <v/>
      </c>
      <c r="S20" s="6">
        <f>M20+P20</f>
        <v/>
      </c>
      <c r="T20" s="6">
        <f>N20+Q20</f>
        <v/>
      </c>
    </row>
    <row r="21" hidden="1">
      <c r="A21" s="7" t="inlineStr">
        <is>
          <t>110564</t>
        </is>
      </c>
      <c r="B21" s="7" t="inlineStr">
        <is>
          <t>Anticipo de Sueldo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>
        <f>C21+F21</f>
        <v/>
      </c>
      <c r="J21" s="7">
        <f>D21+G21</f>
        <v/>
      </c>
      <c r="K21" s="7">
        <f>E21+H21</f>
        <v/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>
        <f>L21+O21</f>
        <v/>
      </c>
      <c r="S21" s="7">
        <f>M21+P21</f>
        <v/>
      </c>
      <c r="T21" s="7">
        <f>N21+Q21</f>
        <v/>
      </c>
    </row>
    <row r="22">
      <c r="A22" s="6" t="inlineStr">
        <is>
          <t>110565</t>
        </is>
      </c>
      <c r="B22" s="6" t="inlineStr">
        <is>
          <t>Fondos a Rendir</t>
        </is>
      </c>
      <c r="C22" s="6" t="n">
        <v>151.23</v>
      </c>
      <c r="D22" s="6" t="n">
        <v>67.93000000000001</v>
      </c>
      <c r="E22" s="6" t="n">
        <v>83.30000000000001</v>
      </c>
      <c r="F22" s="6" t="n">
        <v>490.61</v>
      </c>
      <c r="G22" s="6" t="n">
        <v>0</v>
      </c>
      <c r="H22" s="6" t="n">
        <v>490.61</v>
      </c>
      <c r="I22" s="6">
        <f>C22+F22</f>
        <v/>
      </c>
      <c r="J22" s="6">
        <f>D22+G22</f>
        <v/>
      </c>
      <c r="K22" s="6">
        <f>E22+H22</f>
        <v/>
      </c>
      <c r="L22" s="6" t="n">
        <v>5900000</v>
      </c>
      <c r="M22" s="6" t="n">
        <v>2700000</v>
      </c>
      <c r="N22" s="6" t="n">
        <v>3200000</v>
      </c>
      <c r="O22" s="6" t="n">
        <v>20000000</v>
      </c>
      <c r="P22" s="6" t="n">
        <v>0</v>
      </c>
      <c r="Q22" s="6" t="n">
        <v>20000000</v>
      </c>
      <c r="R22" s="6">
        <f>L22+O22</f>
        <v/>
      </c>
      <c r="S22" s="6">
        <f>M22+P22</f>
        <v/>
      </c>
      <c r="T22" s="6">
        <f>N22+Q22</f>
        <v/>
      </c>
    </row>
    <row r="23">
      <c r="A23" s="4" t="inlineStr">
        <is>
          <t>CTAS Y DOCTOS X COBRAR A EERR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</row>
    <row r="24">
      <c r="A24" s="6" t="inlineStr">
        <is>
          <t>110612</t>
        </is>
      </c>
      <c r="B24" s="6" t="inlineStr">
        <is>
          <t>Cta. Cte. Grupo Impulsa SPA</t>
        </is>
      </c>
      <c r="C24" s="6" t="n">
        <v>16287.48</v>
      </c>
      <c r="D24" s="6" t="n">
        <v>0</v>
      </c>
      <c r="E24" s="6" t="n">
        <v>16287.48</v>
      </c>
      <c r="F24" s="6" t="n">
        <v>0</v>
      </c>
      <c r="G24" s="6" t="n">
        <v>0</v>
      </c>
      <c r="H24" s="6" t="n">
        <v>0</v>
      </c>
      <c r="I24" s="6">
        <f>C24+F24</f>
        <v/>
      </c>
      <c r="J24" s="6">
        <f>D24+G24</f>
        <v/>
      </c>
      <c r="K24" s="6">
        <f>E24+H24</f>
        <v/>
      </c>
      <c r="L24" s="6" t="n">
        <v>649194033</v>
      </c>
      <c r="M24" s="6" t="n">
        <v>0</v>
      </c>
      <c r="N24" s="6" t="n">
        <v>649194033</v>
      </c>
      <c r="O24" s="6" t="n">
        <v>0</v>
      </c>
      <c r="P24" s="6" t="n">
        <v>0</v>
      </c>
      <c r="Q24" s="6" t="n">
        <v>0</v>
      </c>
      <c r="R24" s="6">
        <f>L24+O24</f>
        <v/>
      </c>
      <c r="S24" s="6">
        <f>M24+P24</f>
        <v/>
      </c>
      <c r="T24" s="6">
        <f>N24+Q24</f>
        <v/>
      </c>
    </row>
    <row r="25">
      <c r="A25" s="4" t="inlineStr">
        <is>
          <t>IMPUESTOS POR RECUPERAR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</row>
    <row r="26">
      <c r="A26" s="6" t="inlineStr">
        <is>
          <t>110811</t>
        </is>
      </c>
      <c r="B26" s="6" t="inlineStr">
        <is>
          <t>IVA Credito Fiscal</t>
        </is>
      </c>
      <c r="C26" s="6" t="n">
        <v>12488.51000000002</v>
      </c>
      <c r="D26" s="6" t="n">
        <v>12488.51</v>
      </c>
      <c r="E26" s="6" t="n">
        <v>0</v>
      </c>
      <c r="F26" s="6" t="n">
        <v>0</v>
      </c>
      <c r="G26" s="6" t="n">
        <v>0</v>
      </c>
      <c r="H26" s="6" t="n">
        <v>0</v>
      </c>
      <c r="I26" s="6">
        <f>C26+F26</f>
        <v/>
      </c>
      <c r="J26" s="6">
        <f>D26+G26</f>
        <v/>
      </c>
      <c r="K26" s="6">
        <f>E26+H26</f>
        <v/>
      </c>
      <c r="L26" s="6" t="n">
        <v>500464371</v>
      </c>
      <c r="M26" s="6" t="n">
        <v>500464371</v>
      </c>
      <c r="N26" s="6" t="n">
        <v>0</v>
      </c>
      <c r="O26" s="6" t="n">
        <v>0</v>
      </c>
      <c r="P26" s="6" t="n">
        <v>0</v>
      </c>
      <c r="Q26" s="6" t="n">
        <v>0</v>
      </c>
      <c r="R26" s="6">
        <f>L26+O26</f>
        <v/>
      </c>
      <c r="S26" s="6">
        <f>M26+P26</f>
        <v/>
      </c>
      <c r="T26" s="6">
        <f>N26+Q26</f>
        <v/>
      </c>
    </row>
    <row r="27" hidden="1">
      <c r="A27" s="7" t="inlineStr">
        <is>
          <t>110812</t>
        </is>
      </c>
      <c r="B27" s="7" t="inlineStr">
        <is>
          <t>IVA Credito Proporcional</t>
        </is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>
        <f>C27+F27</f>
        <v/>
      </c>
      <c r="J27" s="7">
        <f>D27+G27</f>
        <v/>
      </c>
      <c r="K27" s="7">
        <f>E27+H27</f>
        <v/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>
        <f>L27+O27</f>
        <v/>
      </c>
      <c r="S27" s="7">
        <f>M27+P27</f>
        <v/>
      </c>
      <c r="T27" s="7">
        <f>N27+Q27</f>
        <v/>
      </c>
    </row>
    <row r="28">
      <c r="A28" s="6" t="inlineStr">
        <is>
          <t>110813</t>
        </is>
      </c>
      <c r="B28" s="6" t="inlineStr">
        <is>
          <t>Remanente Credito Fiscal</t>
        </is>
      </c>
      <c r="C28" s="6" t="n">
        <v>55380.66</v>
      </c>
      <c r="D28" s="6" t="n">
        <v>0</v>
      </c>
      <c r="E28" s="6" t="n">
        <v>55380.66</v>
      </c>
      <c r="F28" s="6" t="n">
        <v>0</v>
      </c>
      <c r="G28" s="6" t="n">
        <v>0</v>
      </c>
      <c r="H28" s="6" t="n">
        <v>0</v>
      </c>
      <c r="I28" s="6">
        <f>C28+F28</f>
        <v/>
      </c>
      <c r="J28" s="6">
        <f>D28+G28</f>
        <v/>
      </c>
      <c r="K28" s="6">
        <f>E28+H28</f>
        <v/>
      </c>
      <c r="L28" s="6" t="n">
        <v>2205412772</v>
      </c>
      <c r="M28" s="6" t="n">
        <v>0</v>
      </c>
      <c r="N28" s="6" t="n">
        <v>2205412772</v>
      </c>
      <c r="O28" s="6" t="n">
        <v>0</v>
      </c>
      <c r="P28" s="6" t="n">
        <v>0</v>
      </c>
      <c r="Q28" s="6" t="n">
        <v>0</v>
      </c>
      <c r="R28" s="6">
        <f>L28+O28</f>
        <v/>
      </c>
      <c r="S28" s="6">
        <f>M28+P28</f>
        <v/>
      </c>
      <c r="T28" s="6">
        <f>N28+Q28</f>
        <v/>
      </c>
    </row>
    <row r="29" hidden="1">
      <c r="A29" s="7" t="inlineStr">
        <is>
          <t>110815</t>
        </is>
      </c>
      <c r="B29" s="7" t="inlineStr">
        <is>
          <t>Pagos Provisionales Mensuales</t>
        </is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>
        <f>C29+F29</f>
        <v/>
      </c>
      <c r="J29" s="7">
        <f>D29+G29</f>
        <v/>
      </c>
      <c r="K29" s="7">
        <f>E29+H29</f>
        <v/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>
        <f>L29+O29</f>
        <v/>
      </c>
      <c r="S29" s="7">
        <f>M29+P29</f>
        <v/>
      </c>
      <c r="T29" s="7">
        <f>N29+Q29</f>
        <v/>
      </c>
    </row>
    <row r="30" ht="18" customHeight="1">
      <c r="A30" s="1" t="inlineStr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4" t="inlineStr">
        <is>
          <t>ACTIVOS NO CORRIENTES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</row>
    <row r="32">
      <c r="A32" s="4" t="inlineStr">
        <is>
          <t>CTAS Y DOCTOS X COBRAR A EERR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A33" s="6" t="inlineStr">
        <is>
          <t>120411</t>
        </is>
      </c>
      <c r="B33" s="6" t="inlineStr">
        <is>
          <t>Ctas por Cobrar / Cta. Cte. Inmobiliaria EPlaza SPA</t>
        </is>
      </c>
      <c r="C33" s="6" t="n">
        <v>0</v>
      </c>
      <c r="D33" s="6" t="n">
        <v>0</v>
      </c>
      <c r="E33" s="6" t="n">
        <v>0</v>
      </c>
      <c r="F33" s="6" t="n">
        <v>164250.74</v>
      </c>
      <c r="G33" s="6" t="n">
        <v>0</v>
      </c>
      <c r="H33" s="6" t="n">
        <v>164250.74</v>
      </c>
      <c r="I33" s="6">
        <f>C33+F33</f>
        <v/>
      </c>
      <c r="J33" s="6">
        <f>D33+G33</f>
        <v/>
      </c>
      <c r="K33" s="6">
        <f>E33+H33</f>
        <v/>
      </c>
      <c r="L33" s="6" t="n">
        <v>0</v>
      </c>
      <c r="M33" s="6" t="n">
        <v>0</v>
      </c>
      <c r="N33" s="6" t="n">
        <v>0</v>
      </c>
      <c r="O33" s="6" t="n">
        <v>6525346829</v>
      </c>
      <c r="P33" s="6" t="n">
        <v>0</v>
      </c>
      <c r="Q33" s="6" t="n">
        <v>6525346829</v>
      </c>
      <c r="R33" s="6">
        <f>L33+O33</f>
        <v/>
      </c>
      <c r="S33" s="6">
        <f>M33+P33</f>
        <v/>
      </c>
      <c r="T33" s="6">
        <f>N33+Q33</f>
        <v/>
      </c>
    </row>
    <row r="34" hidden="1">
      <c r="A34" s="7" t="inlineStr">
        <is>
          <t>120415</t>
        </is>
      </c>
      <c r="B34" s="7" t="inlineStr">
        <is>
          <t>Cta. Cte. Impulsa Inversiones SPA / Cta. Cte. Inmob. y Const. Los Laureles SPA</t>
        </is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>
        <f>C34+F34</f>
        <v/>
      </c>
      <c r="J34" s="7">
        <f>D34+G34</f>
        <v/>
      </c>
      <c r="K34" s="7">
        <f>E34+H34</f>
        <v/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>
        <f>L34+O34</f>
        <v/>
      </c>
      <c r="S34" s="7">
        <f>M34+P34</f>
        <v/>
      </c>
      <c r="T34" s="7">
        <f>N34+Q34</f>
        <v/>
      </c>
    </row>
    <row r="35" hidden="1">
      <c r="A35" s="7" t="inlineStr">
        <is>
          <t>120418</t>
        </is>
      </c>
      <c r="B35" s="7" t="inlineStr">
        <is>
          <t>Cta. Cte. Inmob. y Constructora BBR SPA</t>
        </is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>
        <f>C35+F35</f>
        <v/>
      </c>
      <c r="J35" s="7">
        <f>D35+G35</f>
        <v/>
      </c>
      <c r="K35" s="7">
        <f>E35+H35</f>
        <v/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>
        <f>L35+O35</f>
        <v/>
      </c>
      <c r="S35" s="7">
        <f>M35+P35</f>
        <v/>
      </c>
      <c r="T35" s="7">
        <f>N35+Q35</f>
        <v/>
      </c>
    </row>
    <row r="36" hidden="1">
      <c r="A36" s="7" t="inlineStr">
        <is>
          <t>120419</t>
        </is>
      </c>
      <c r="B36" s="7" t="inlineStr">
        <is>
          <t>Cta. Cte. Investigacion y Desarrollo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>
        <f>C36+F36</f>
        <v/>
      </c>
      <c r="J36" s="7">
        <f>D36+G36</f>
        <v/>
      </c>
      <c r="K36" s="7">
        <f>E36+H36</f>
        <v/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>
        <f>L36+O36</f>
        <v/>
      </c>
      <c r="S36" s="7">
        <f>M36+P36</f>
        <v/>
      </c>
      <c r="T36" s="7">
        <f>N36+Q36</f>
        <v/>
      </c>
    </row>
    <row r="37" hidden="1">
      <c r="A37" s="7" t="inlineStr">
        <is>
          <t>120420</t>
        </is>
      </c>
      <c r="B37" s="7" t="inlineStr">
        <is>
          <t>Cta. Cte. Prestamo x Compra Camioneta</t>
        </is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>
        <f>C37+F37</f>
        <v/>
      </c>
      <c r="J37" s="7">
        <f>D37+G37</f>
        <v/>
      </c>
      <c r="K37" s="7">
        <f>E37+H37</f>
        <v/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>
        <f>L37+O37</f>
        <v/>
      </c>
      <c r="S37" s="7">
        <f>M37+P37</f>
        <v/>
      </c>
      <c r="T37" s="7">
        <f>N37+Q37</f>
        <v/>
      </c>
    </row>
    <row r="38">
      <c r="A38" s="4" t="inlineStr">
        <is>
          <t>INVERSION EMPRESA RELACIONADA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  <row r="39">
      <c r="A39" s="6" t="inlineStr">
        <is>
          <t>120511</t>
        </is>
      </c>
      <c r="B39" s="6" t="inlineStr">
        <is>
          <t>Inversion en Inmob. Infante Videla S.A. / Inversion en Inmobiliaria EPlaza SPA</t>
        </is>
      </c>
      <c r="C39" s="6" t="n">
        <v>0</v>
      </c>
      <c r="D39" s="6" t="n">
        <v>0</v>
      </c>
      <c r="E39" s="6" t="n">
        <v>0</v>
      </c>
      <c r="F39" s="6" t="n">
        <v>17.64</v>
      </c>
      <c r="G39" s="6" t="n">
        <v>0</v>
      </c>
      <c r="H39" s="6" t="n">
        <v>17.64</v>
      </c>
      <c r="I39" s="6">
        <f>C39+F39</f>
        <v/>
      </c>
      <c r="J39" s="6">
        <f>D39+G39</f>
        <v/>
      </c>
      <c r="K39" s="6">
        <f>E39+H39</f>
        <v/>
      </c>
      <c r="L39" s="6" t="n">
        <v>0</v>
      </c>
      <c r="M39" s="6" t="n">
        <v>0</v>
      </c>
      <c r="N39" s="6" t="n">
        <v>0</v>
      </c>
      <c r="O39" s="6" t="n">
        <v>700945</v>
      </c>
      <c r="P39" s="6" t="n">
        <v>0</v>
      </c>
      <c r="Q39" s="6" t="n">
        <v>700945</v>
      </c>
      <c r="R39" s="6">
        <f>L39+O39</f>
        <v/>
      </c>
      <c r="S39" s="6">
        <f>M39+P39</f>
        <v/>
      </c>
      <c r="T39" s="6">
        <f>N39+Q39</f>
        <v/>
      </c>
    </row>
    <row r="40" hidden="1">
      <c r="A40" s="7" t="inlineStr">
        <is>
          <t>120512</t>
        </is>
      </c>
      <c r="B40" s="7" t="inlineStr">
        <is>
          <t>Inversion en Inmob. y Constructora BBR SPA / Inversion en Inmob. San Juan De La Luz S.A.</t>
        </is>
      </c>
      <c r="C40" s="7" t="n">
        <v>0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>
        <f>C40+F40</f>
        <v/>
      </c>
      <c r="J40" s="7">
        <f>D40+G40</f>
        <v/>
      </c>
      <c r="K40" s="7">
        <f>E40+H40</f>
        <v/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>
        <f>L40+O40</f>
        <v/>
      </c>
      <c r="S40" s="7">
        <f>M40+P40</f>
        <v/>
      </c>
      <c r="T40" s="7">
        <f>N40+Q40</f>
        <v/>
      </c>
    </row>
    <row r="41" hidden="1">
      <c r="A41" s="7" t="inlineStr">
        <is>
          <t>120513</t>
        </is>
      </c>
      <c r="B41" s="7" t="inlineStr">
        <is>
          <t>Inversion en Osler Impulsa Inversiones S.L. / Inversion en Inmobiliaria EPlaza S.A.</t>
        </is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>
        <f>C41+F41</f>
        <v/>
      </c>
      <c r="J41" s="7">
        <f>D41+G41</f>
        <v/>
      </c>
      <c r="K41" s="7">
        <f>E41+H41</f>
        <v/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>
        <f>L41+O41</f>
        <v/>
      </c>
      <c r="S41" s="7">
        <f>M41+P41</f>
        <v/>
      </c>
      <c r="T41" s="7">
        <f>N41+Q41</f>
        <v/>
      </c>
    </row>
    <row r="42" hidden="1">
      <c r="A42" s="7" t="inlineStr">
        <is>
          <t>120514</t>
        </is>
      </c>
      <c r="B42" s="7" t="inlineStr">
        <is>
          <t>Inversion en Proyecto Los Laureles / Inversion en Inmob. Manquehue Norte 321 SPA</t>
        </is>
      </c>
      <c r="C42" s="7" t="n">
        <v>0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>
        <f>C42+F42</f>
        <v/>
      </c>
      <c r="J42" s="7">
        <f>D42+G42</f>
        <v/>
      </c>
      <c r="K42" s="7">
        <f>E42+H42</f>
        <v/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>
        <f>L42+O42</f>
        <v/>
      </c>
      <c r="S42" s="7">
        <f>M42+P42</f>
        <v/>
      </c>
      <c r="T42" s="7">
        <f>N42+Q42</f>
        <v/>
      </c>
    </row>
    <row r="43">
      <c r="A43" s="4" t="inlineStr">
        <is>
          <t>PROPIEDADES Y EQUIPOS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  <row r="44" hidden="1">
      <c r="A44" s="7" t="inlineStr">
        <is>
          <t>120831</t>
        </is>
      </c>
      <c r="B44" s="7" t="inlineStr">
        <is>
          <t>Muebles y Utiles</t>
        </is>
      </c>
      <c r="C44" s="7" t="n">
        <v>0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>
        <f>C44+F44</f>
        <v/>
      </c>
      <c r="J44" s="7">
        <f>D44+G44</f>
        <v/>
      </c>
      <c r="K44" s="7">
        <f>E44+H44</f>
        <v/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>
        <f>L44+O44</f>
        <v/>
      </c>
      <c r="S44" s="7">
        <f>M44+P44</f>
        <v/>
      </c>
      <c r="T44" s="7">
        <f>N44+Q44</f>
        <v/>
      </c>
    </row>
    <row r="45" hidden="1">
      <c r="A45" s="7" t="inlineStr">
        <is>
          <t>120841</t>
        </is>
      </c>
      <c r="B45" s="7" t="inlineStr">
        <is>
          <t>Instalaciones</t>
        </is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>
        <f>C45+F45</f>
        <v/>
      </c>
      <c r="J45" s="7">
        <f>D45+G45</f>
        <v/>
      </c>
      <c r="K45" s="7">
        <f>E45+H45</f>
        <v/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>
        <f>L45+O45</f>
        <v/>
      </c>
      <c r="S45" s="7">
        <f>M45+P45</f>
        <v/>
      </c>
      <c r="T45" s="7">
        <f>N45+Q45</f>
        <v/>
      </c>
    </row>
    <row r="46" hidden="1">
      <c r="A46" s="7" t="inlineStr">
        <is>
          <t>120851</t>
        </is>
      </c>
      <c r="B46" s="7" t="inlineStr">
        <is>
          <t>Equipos Computacionales</t>
        </is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>
        <f>C46+F46</f>
        <v/>
      </c>
      <c r="J46" s="7">
        <f>D46+G46</f>
        <v/>
      </c>
      <c r="K46" s="7">
        <f>E46+H46</f>
        <v/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>
        <f>L46+O46</f>
        <v/>
      </c>
      <c r="S46" s="7">
        <f>M46+P46</f>
        <v/>
      </c>
      <c r="T46" s="7">
        <f>N46+Q46</f>
        <v/>
      </c>
    </row>
    <row r="47" hidden="1">
      <c r="A47" s="7" t="inlineStr">
        <is>
          <t>120852</t>
        </is>
      </c>
      <c r="B47" s="7" t="inlineStr">
        <is>
          <t>Sistema Computacional</t>
        </is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>
        <f>C47+F47</f>
        <v/>
      </c>
      <c r="J47" s="7">
        <f>D47+G47</f>
        <v/>
      </c>
      <c r="K47" s="7">
        <f>E47+H47</f>
        <v/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>
        <f>L47+O47</f>
        <v/>
      </c>
      <c r="S47" s="7">
        <f>M47+P47</f>
        <v/>
      </c>
      <c r="T47" s="7">
        <f>N47+Q47</f>
        <v/>
      </c>
    </row>
    <row r="48" hidden="1">
      <c r="A48" s="7" t="inlineStr">
        <is>
          <t>120853</t>
        </is>
      </c>
      <c r="B48" s="7" t="inlineStr">
        <is>
          <t>Equipo Aire Acondicionado</t>
        </is>
      </c>
      <c r="C48" s="7" t="n">
        <v>0</v>
      </c>
      <c r="D48" s="7" t="n">
        <v>0</v>
      </c>
      <c r="E48" s="7" t="n">
        <v>0</v>
      </c>
      <c r="F48" s="7" t="n">
        <v>0</v>
      </c>
      <c r="G48" s="7" t="n">
        <v>0</v>
      </c>
      <c r="H48" s="7" t="n">
        <v>0</v>
      </c>
      <c r="I48" s="7">
        <f>C48+F48</f>
        <v/>
      </c>
      <c r="J48" s="7">
        <f>D48+G48</f>
        <v/>
      </c>
      <c r="K48" s="7">
        <f>E48+H48</f>
        <v/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>
        <f>L48+O48</f>
        <v/>
      </c>
      <c r="S48" s="7">
        <f>M48+P48</f>
        <v/>
      </c>
      <c r="T48" s="7">
        <f>N48+Q48</f>
        <v/>
      </c>
    </row>
    <row r="49">
      <c r="A49" s="4" t="inlineStr">
        <is>
          <t>DEPRECIACION ACUMULADA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 hidden="1">
      <c r="A50" s="7" t="inlineStr">
        <is>
          <t>120893</t>
        </is>
      </c>
      <c r="B50" s="7" t="inlineStr">
        <is>
          <t>Dep Acum. Muebles y Utiles</t>
        </is>
      </c>
      <c r="C50" s="7" t="n">
        <v>0</v>
      </c>
      <c r="D50" s="7" t="n">
        <v>0</v>
      </c>
      <c r="E50" s="7" t="n">
        <v>0</v>
      </c>
      <c r="F50" s="7" t="n">
        <v>0</v>
      </c>
      <c r="G50" s="7" t="n">
        <v>0</v>
      </c>
      <c r="H50" s="7" t="n">
        <v>0</v>
      </c>
      <c r="I50" s="7">
        <f>C50+F50</f>
        <v/>
      </c>
      <c r="J50" s="7">
        <f>D50+G50</f>
        <v/>
      </c>
      <c r="K50" s="7">
        <f>E50+H50</f>
        <v/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>
        <f>L50+O50</f>
        <v/>
      </c>
      <c r="S50" s="7">
        <f>M50+P50</f>
        <v/>
      </c>
      <c r="T50" s="7">
        <f>N50+Q50</f>
        <v/>
      </c>
    </row>
    <row r="51" hidden="1">
      <c r="A51" s="7" t="inlineStr">
        <is>
          <t>120894</t>
        </is>
      </c>
      <c r="B51" s="7" t="inlineStr">
        <is>
          <t>Dep Acum. Instalaciones</t>
        </is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7">
        <f>C51+F51</f>
        <v/>
      </c>
      <c r="J51" s="7">
        <f>D51+G51</f>
        <v/>
      </c>
      <c r="K51" s="7">
        <f>E51+H51</f>
        <v/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>
        <f>L51+O51</f>
        <v/>
      </c>
      <c r="S51" s="7">
        <f>M51+P51</f>
        <v/>
      </c>
      <c r="T51" s="7">
        <f>N51+Q51</f>
        <v/>
      </c>
    </row>
    <row r="52" hidden="1">
      <c r="A52" s="7" t="inlineStr">
        <is>
          <t>120897</t>
        </is>
      </c>
      <c r="B52" s="7" t="inlineStr">
        <is>
          <t>Dep Acum. Eq. Computacionales</t>
        </is>
      </c>
      <c r="C52" s="7" t="n">
        <v>0</v>
      </c>
      <c r="D52" s="7" t="n">
        <v>0</v>
      </c>
      <c r="E52" s="7" t="n">
        <v>0</v>
      </c>
      <c r="F52" s="7" t="n">
        <v>0</v>
      </c>
      <c r="G52" s="7" t="n">
        <v>0</v>
      </c>
      <c r="H52" s="7" t="n">
        <v>0</v>
      </c>
      <c r="I52" s="7">
        <f>C52+F52</f>
        <v/>
      </c>
      <c r="J52" s="7">
        <f>D52+G52</f>
        <v/>
      </c>
      <c r="K52" s="7">
        <f>E52+H52</f>
        <v/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>
        <f>L52+O52</f>
        <v/>
      </c>
      <c r="S52" s="7">
        <f>M52+P52</f>
        <v/>
      </c>
      <c r="T52" s="7">
        <f>N52+Q52</f>
        <v/>
      </c>
    </row>
    <row r="53" hidden="1">
      <c r="A53" s="7" t="inlineStr">
        <is>
          <t>120899</t>
        </is>
      </c>
      <c r="B53" s="7" t="inlineStr">
        <is>
          <t>Dep Acum. Equipo Aire Acondicionado</t>
        </is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7">
        <f>C53+F53</f>
        <v/>
      </c>
      <c r="J53" s="7">
        <f>D53+G53</f>
        <v/>
      </c>
      <c r="K53" s="7">
        <f>E53+H53</f>
        <v/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>
        <f>L53+O53</f>
        <v/>
      </c>
      <c r="S53" s="7">
        <f>M53+P53</f>
        <v/>
      </c>
      <c r="T53" s="7">
        <f>N53+Q53</f>
        <v/>
      </c>
    </row>
    <row r="54" ht="18" customHeight="1">
      <c r="A54" s="1" t="inlineStr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4" t="inlineStr">
        <is>
          <t>PROYECTO HERNANDO DE AGUIRRE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</row>
    <row r="56" ht="18" customHeight="1">
      <c r="A56" s="1" t="inlineStr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>
      <c r="A57" s="4" t="inlineStr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</row>
    <row r="58">
      <c r="A58" s="4" t="inlineStr">
        <is>
          <t>TERRENO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</row>
    <row r="59">
      <c r="A59" s="6" t="inlineStr">
        <is>
          <t>120911</t>
        </is>
      </c>
      <c r="B59" s="6" t="inlineStr">
        <is>
          <t>Terreno</t>
        </is>
      </c>
      <c r="C59" s="6" t="n">
        <v>180096.35</v>
      </c>
      <c r="D59" s="6" t="n">
        <v>0</v>
      </c>
      <c r="E59" s="6" t="n">
        <v>180096.35</v>
      </c>
      <c r="F59" s="6" t="n">
        <v>0</v>
      </c>
      <c r="G59" s="6" t="n">
        <v>0</v>
      </c>
      <c r="H59" s="6" t="n">
        <v>0</v>
      </c>
      <c r="I59" s="6">
        <f>C59+F59</f>
        <v/>
      </c>
      <c r="J59" s="6">
        <f>D59+G59</f>
        <v/>
      </c>
      <c r="K59" s="6">
        <f>E59+H59</f>
        <v/>
      </c>
      <c r="L59" s="6" t="n">
        <v>7154860589</v>
      </c>
      <c r="M59" s="6" t="n">
        <v>0</v>
      </c>
      <c r="N59" s="6" t="n">
        <v>7154860589</v>
      </c>
      <c r="O59" s="6" t="n">
        <v>0</v>
      </c>
      <c r="P59" s="6" t="n">
        <v>0</v>
      </c>
      <c r="Q59" s="6" t="n">
        <v>0</v>
      </c>
      <c r="R59" s="6">
        <f>L59+O59</f>
        <v/>
      </c>
      <c r="S59" s="6">
        <f>M59+P59</f>
        <v/>
      </c>
      <c r="T59" s="6">
        <f>N59+Q59</f>
        <v/>
      </c>
    </row>
    <row r="60">
      <c r="A60" s="6" t="inlineStr">
        <is>
          <t>120912</t>
        </is>
      </c>
      <c r="B60" s="6" t="inlineStr">
        <is>
          <t>Costo Comision Terreno</t>
        </is>
      </c>
      <c r="C60" s="6" t="n">
        <v>3600.07</v>
      </c>
      <c r="D60" s="6" t="n">
        <v>0</v>
      </c>
      <c r="E60" s="6" t="n">
        <v>3600.07</v>
      </c>
      <c r="F60" s="6" t="n">
        <v>0</v>
      </c>
      <c r="G60" s="6" t="n">
        <v>0</v>
      </c>
      <c r="H60" s="6" t="n">
        <v>0</v>
      </c>
      <c r="I60" s="6">
        <f>C60+F60</f>
        <v/>
      </c>
      <c r="J60" s="6">
        <f>D60+G60</f>
        <v/>
      </c>
      <c r="K60" s="6">
        <f>E60+H60</f>
        <v/>
      </c>
      <c r="L60" s="6" t="n">
        <v>143023437</v>
      </c>
      <c r="M60" s="6" t="n">
        <v>0</v>
      </c>
      <c r="N60" s="6" t="n">
        <v>143023437</v>
      </c>
      <c r="O60" s="6" t="n">
        <v>0</v>
      </c>
      <c r="P60" s="6" t="n">
        <v>0</v>
      </c>
      <c r="Q60" s="6" t="n">
        <v>0</v>
      </c>
      <c r="R60" s="6">
        <f>L60+O60</f>
        <v/>
      </c>
      <c r="S60" s="6">
        <f>M60+P60</f>
        <v/>
      </c>
      <c r="T60" s="6">
        <f>N60+Q60</f>
        <v/>
      </c>
    </row>
    <row r="61">
      <c r="A61" s="6" t="inlineStr">
        <is>
          <t>120913</t>
        </is>
      </c>
      <c r="B61" s="6" t="inlineStr">
        <is>
          <t>Estructuracion</t>
        </is>
      </c>
      <c r="C61" s="6" t="n">
        <v>4000</v>
      </c>
      <c r="D61" s="6" t="n">
        <v>0</v>
      </c>
      <c r="E61" s="6" t="n">
        <v>4000</v>
      </c>
      <c r="F61" s="6" t="n">
        <v>0</v>
      </c>
      <c r="G61" s="6" t="n">
        <v>0</v>
      </c>
      <c r="H61" s="6" t="n">
        <v>0</v>
      </c>
      <c r="I61" s="6">
        <f>C61+F61</f>
        <v/>
      </c>
      <c r="J61" s="6">
        <f>D61+G61</f>
        <v/>
      </c>
      <c r="K61" s="6">
        <f>E61+H61</f>
        <v/>
      </c>
      <c r="L61" s="6" t="n">
        <v>158911840</v>
      </c>
      <c r="M61" s="6" t="n">
        <v>0</v>
      </c>
      <c r="N61" s="6" t="n">
        <v>158911840</v>
      </c>
      <c r="O61" s="6" t="n">
        <v>0</v>
      </c>
      <c r="P61" s="6" t="n">
        <v>0</v>
      </c>
      <c r="Q61" s="6" t="n">
        <v>0</v>
      </c>
      <c r="R61" s="6">
        <f>L61+O61</f>
        <v/>
      </c>
      <c r="S61" s="6">
        <f>M61+P61</f>
        <v/>
      </c>
      <c r="T61" s="6">
        <f>N61+Q61</f>
        <v/>
      </c>
    </row>
    <row r="62">
      <c r="A62" s="6" t="inlineStr">
        <is>
          <t>120914</t>
        </is>
      </c>
      <c r="B62" s="6" t="inlineStr">
        <is>
          <t>Contribuciones Bs Rs</t>
        </is>
      </c>
      <c r="C62" s="6" t="n">
        <v>3712.14</v>
      </c>
      <c r="D62" s="6" t="n">
        <v>0</v>
      </c>
      <c r="E62" s="6" t="n">
        <v>3712.14</v>
      </c>
      <c r="F62" s="6" t="n">
        <v>0</v>
      </c>
      <c r="G62" s="6" t="n">
        <v>0</v>
      </c>
      <c r="H62" s="6" t="n">
        <v>0</v>
      </c>
      <c r="I62" s="6">
        <f>C62+F62</f>
        <v/>
      </c>
      <c r="J62" s="6">
        <f>D62+G62</f>
        <v/>
      </c>
      <c r="K62" s="6">
        <f>E62+H62</f>
        <v/>
      </c>
      <c r="L62" s="6" t="n">
        <v>147645728</v>
      </c>
      <c r="M62" s="6" t="n">
        <v>0</v>
      </c>
      <c r="N62" s="6" t="n">
        <v>147645728</v>
      </c>
      <c r="O62" s="6" t="n">
        <v>0</v>
      </c>
      <c r="P62" s="6" t="n">
        <v>0</v>
      </c>
      <c r="Q62" s="6" t="n">
        <v>0</v>
      </c>
      <c r="R62" s="6">
        <f>L62+O62</f>
        <v/>
      </c>
      <c r="S62" s="6">
        <f>M62+P62</f>
        <v/>
      </c>
      <c r="T62" s="6">
        <f>N62+Q62</f>
        <v/>
      </c>
    </row>
    <row r="63">
      <c r="A63" s="6" t="inlineStr">
        <is>
          <t>120915</t>
        </is>
      </c>
      <c r="B63" s="6" t="inlineStr">
        <is>
          <t>Otros Terrenos</t>
        </is>
      </c>
      <c r="C63" s="6" t="n">
        <v>489.35</v>
      </c>
      <c r="D63" s="6" t="n">
        <v>0</v>
      </c>
      <c r="E63" s="6" t="n">
        <v>489.35</v>
      </c>
      <c r="F63" s="6" t="n">
        <v>0</v>
      </c>
      <c r="G63" s="6" t="n">
        <v>0</v>
      </c>
      <c r="H63" s="6" t="n">
        <v>0</v>
      </c>
      <c r="I63" s="6">
        <f>C63+F63</f>
        <v/>
      </c>
      <c r="J63" s="6">
        <f>D63+G63</f>
        <v/>
      </c>
      <c r="K63" s="6">
        <f>E63+H63</f>
        <v/>
      </c>
      <c r="L63" s="6" t="n">
        <v>19440877</v>
      </c>
      <c r="M63" s="6" t="n">
        <v>0</v>
      </c>
      <c r="N63" s="6" t="n">
        <v>19440877</v>
      </c>
      <c r="O63" s="6" t="n">
        <v>0</v>
      </c>
      <c r="P63" s="6" t="n">
        <v>0</v>
      </c>
      <c r="Q63" s="6" t="n">
        <v>0</v>
      </c>
      <c r="R63" s="6">
        <f>L63+O63</f>
        <v/>
      </c>
      <c r="S63" s="6">
        <f>M63+P63</f>
        <v/>
      </c>
      <c r="T63" s="6">
        <f>N63+Q63</f>
        <v/>
      </c>
    </row>
    <row r="64">
      <c r="A64" s="4" t="inlineStr">
        <is>
          <t>DERECHOS Y PERMISOS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</row>
    <row r="65">
      <c r="A65" s="6" t="inlineStr">
        <is>
          <t>120921</t>
        </is>
      </c>
      <c r="B65" s="6" t="inlineStr">
        <is>
          <t>Dºs Municipales</t>
        </is>
      </c>
      <c r="C65" s="6" t="n">
        <v>1124.31</v>
      </c>
      <c r="D65" s="6" t="n">
        <v>0</v>
      </c>
      <c r="E65" s="6" t="n">
        <v>1124.31</v>
      </c>
      <c r="F65" s="6" t="n">
        <v>0</v>
      </c>
      <c r="G65" s="6" t="n">
        <v>0</v>
      </c>
      <c r="H65" s="6" t="n">
        <v>0</v>
      </c>
      <c r="I65" s="6">
        <f>C65+F65</f>
        <v/>
      </c>
      <c r="J65" s="6">
        <f>D65+G65</f>
        <v/>
      </c>
      <c r="K65" s="6">
        <f>E65+H65</f>
        <v/>
      </c>
      <c r="L65" s="6" t="n">
        <v>44848884</v>
      </c>
      <c r="M65" s="6" t="n">
        <v>0</v>
      </c>
      <c r="N65" s="6" t="n">
        <v>44848884</v>
      </c>
      <c r="O65" s="6" t="n">
        <v>0</v>
      </c>
      <c r="P65" s="6" t="n">
        <v>0</v>
      </c>
      <c r="Q65" s="6" t="n">
        <v>0</v>
      </c>
      <c r="R65" s="6">
        <f>L65+O65</f>
        <v/>
      </c>
      <c r="S65" s="6">
        <f>M65+P65</f>
        <v/>
      </c>
      <c r="T65" s="6">
        <f>N65+Q65</f>
        <v/>
      </c>
    </row>
    <row r="66">
      <c r="A66" s="6" t="inlineStr">
        <is>
          <t>120922</t>
        </is>
      </c>
      <c r="B66" s="6" t="inlineStr">
        <is>
          <t>Arquitecto Revisor</t>
        </is>
      </c>
      <c r="C66" s="6" t="n">
        <v>381.35</v>
      </c>
      <c r="D66" s="6" t="n">
        <v>0</v>
      </c>
      <c r="E66" s="6" t="n">
        <v>381.35</v>
      </c>
      <c r="F66" s="6" t="n">
        <v>0</v>
      </c>
      <c r="G66" s="6" t="n">
        <v>0</v>
      </c>
      <c r="H66" s="6" t="n">
        <v>0</v>
      </c>
      <c r="I66" s="6">
        <f>C66+F66</f>
        <v/>
      </c>
      <c r="J66" s="6">
        <f>D66+G66</f>
        <v/>
      </c>
      <c r="K66" s="6">
        <f>E66+H66</f>
        <v/>
      </c>
      <c r="L66" s="6" t="n">
        <v>15150258</v>
      </c>
      <c r="M66" s="6" t="n">
        <v>0</v>
      </c>
      <c r="N66" s="6" t="n">
        <v>15150258</v>
      </c>
      <c r="O66" s="6" t="n">
        <v>0</v>
      </c>
      <c r="P66" s="6" t="n">
        <v>0</v>
      </c>
      <c r="Q66" s="6" t="n">
        <v>0</v>
      </c>
      <c r="R66" s="6">
        <f>L66+O66</f>
        <v/>
      </c>
      <c r="S66" s="6">
        <f>M66+P66</f>
        <v/>
      </c>
      <c r="T66" s="6">
        <f>N66+Q66</f>
        <v/>
      </c>
    </row>
    <row r="67">
      <c r="A67" s="6" t="inlineStr">
        <is>
          <t>120923</t>
        </is>
      </c>
      <c r="B67" s="6" t="inlineStr">
        <is>
          <t>Otros Derechos</t>
        </is>
      </c>
      <c r="C67" s="6" t="n">
        <v>53.48</v>
      </c>
      <c r="D67" s="6" t="n">
        <v>0</v>
      </c>
      <c r="E67" s="6" t="n">
        <v>53.48</v>
      </c>
      <c r="F67" s="6" t="n">
        <v>0</v>
      </c>
      <c r="G67" s="6" t="n">
        <v>0</v>
      </c>
      <c r="H67" s="6" t="n">
        <v>0</v>
      </c>
      <c r="I67" s="6">
        <f>C67+F67</f>
        <v/>
      </c>
      <c r="J67" s="6">
        <f>D67+G67</f>
        <v/>
      </c>
      <c r="K67" s="6">
        <f>E67+H67</f>
        <v/>
      </c>
      <c r="L67" s="6" t="n">
        <v>2124651</v>
      </c>
      <c r="M67" s="6" t="n">
        <v>0</v>
      </c>
      <c r="N67" s="6" t="n">
        <v>2124651</v>
      </c>
      <c r="O67" s="6" t="n">
        <v>0</v>
      </c>
      <c r="P67" s="6" t="n">
        <v>0</v>
      </c>
      <c r="Q67" s="6" t="n">
        <v>0</v>
      </c>
      <c r="R67" s="6">
        <f>L67+O67</f>
        <v/>
      </c>
      <c r="S67" s="6">
        <f>M67+P67</f>
        <v/>
      </c>
      <c r="T67" s="6">
        <f>N67+Q67</f>
        <v/>
      </c>
    </row>
    <row r="68">
      <c r="A68" s="4" t="inlineStr">
        <is>
          <t>EMPALMES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</row>
    <row r="69">
      <c r="A69" s="6" t="inlineStr">
        <is>
          <t>120931</t>
        </is>
      </c>
      <c r="B69" s="6" t="inlineStr">
        <is>
          <t>Empalme Electrico</t>
        </is>
      </c>
      <c r="C69" s="6" t="n">
        <v>2581.32</v>
      </c>
      <c r="D69" s="6" t="n">
        <v>0</v>
      </c>
      <c r="E69" s="6" t="n">
        <v>2581.32</v>
      </c>
      <c r="F69" s="6" t="n">
        <v>0</v>
      </c>
      <c r="G69" s="6" t="n">
        <v>0</v>
      </c>
      <c r="H69" s="6" t="n">
        <v>0</v>
      </c>
      <c r="I69" s="6">
        <f>C69+F69</f>
        <v/>
      </c>
      <c r="J69" s="6">
        <f>D69+G69</f>
        <v/>
      </c>
      <c r="K69" s="6">
        <f>E69+H69</f>
        <v/>
      </c>
      <c r="L69" s="6" t="n">
        <v>102584375</v>
      </c>
      <c r="M69" s="6" t="n">
        <v>0</v>
      </c>
      <c r="N69" s="6" t="n">
        <v>102584375</v>
      </c>
      <c r="O69" s="6" t="n">
        <v>0</v>
      </c>
      <c r="P69" s="6" t="n">
        <v>0</v>
      </c>
      <c r="Q69" s="6" t="n">
        <v>0</v>
      </c>
      <c r="R69" s="6">
        <f>L69+O69</f>
        <v/>
      </c>
      <c r="S69" s="6">
        <f>M69+P69</f>
        <v/>
      </c>
      <c r="T69" s="6">
        <f>N69+Q69</f>
        <v/>
      </c>
    </row>
    <row r="70">
      <c r="A70" s="6" t="inlineStr">
        <is>
          <t>120932</t>
        </is>
      </c>
      <c r="B70" s="6" t="inlineStr">
        <is>
          <t>Empalme Agua Potable</t>
        </is>
      </c>
      <c r="C70" s="6" t="n">
        <v>576.58</v>
      </c>
      <c r="D70" s="6" t="n">
        <v>0</v>
      </c>
      <c r="E70" s="6" t="n">
        <v>576.58</v>
      </c>
      <c r="F70" s="6" t="n">
        <v>0</v>
      </c>
      <c r="G70" s="6" t="n">
        <v>0</v>
      </c>
      <c r="H70" s="6" t="n">
        <v>0</v>
      </c>
      <c r="I70" s="6">
        <f>C70+F70</f>
        <v/>
      </c>
      <c r="J70" s="6">
        <f>D70+G70</f>
        <v/>
      </c>
      <c r="K70" s="6">
        <f>E70+H70</f>
        <v/>
      </c>
      <c r="L70" s="6" t="n">
        <v>22906347</v>
      </c>
      <c r="M70" s="6" t="n">
        <v>0</v>
      </c>
      <c r="N70" s="6" t="n">
        <v>22906347</v>
      </c>
      <c r="O70" s="6" t="n">
        <v>0</v>
      </c>
      <c r="P70" s="6" t="n">
        <v>0</v>
      </c>
      <c r="Q70" s="6" t="n">
        <v>0</v>
      </c>
      <c r="R70" s="6">
        <f>L70+O70</f>
        <v/>
      </c>
      <c r="S70" s="6">
        <f>M70+P70</f>
        <v/>
      </c>
      <c r="T70" s="6">
        <f>N70+Q70</f>
        <v/>
      </c>
    </row>
    <row r="71">
      <c r="A71" s="4" t="inlineStr">
        <is>
          <t>HONORARIOS ESPECIALIDADES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</row>
    <row r="72">
      <c r="A72" s="6" t="inlineStr">
        <is>
          <t>120941</t>
        </is>
      </c>
      <c r="B72" s="6" t="inlineStr">
        <is>
          <t>Arquitectura</t>
        </is>
      </c>
      <c r="C72" s="6" t="n">
        <v>5785.5</v>
      </c>
      <c r="D72" s="6" t="n">
        <v>0</v>
      </c>
      <c r="E72" s="6" t="n">
        <v>5785.5</v>
      </c>
      <c r="F72" s="6" t="n">
        <v>0</v>
      </c>
      <c r="G72" s="6" t="n">
        <v>0</v>
      </c>
      <c r="H72" s="6" t="n">
        <v>0</v>
      </c>
      <c r="I72" s="6">
        <f>C72+F72</f>
        <v/>
      </c>
      <c r="J72" s="6">
        <f>D72+G72</f>
        <v/>
      </c>
      <c r="K72" s="6">
        <f>E72+H72</f>
        <v/>
      </c>
      <c r="L72" s="6" t="n">
        <v>229977591</v>
      </c>
      <c r="M72" s="6" t="n">
        <v>0</v>
      </c>
      <c r="N72" s="6" t="n">
        <v>229977591</v>
      </c>
      <c r="O72" s="6" t="n">
        <v>0</v>
      </c>
      <c r="P72" s="6" t="n">
        <v>0</v>
      </c>
      <c r="Q72" s="6" t="n">
        <v>0</v>
      </c>
      <c r="R72" s="6">
        <f>L72+O72</f>
        <v/>
      </c>
      <c r="S72" s="6">
        <f>M72+P72</f>
        <v/>
      </c>
      <c r="T72" s="6">
        <f>N72+Q72</f>
        <v/>
      </c>
    </row>
    <row r="73">
      <c r="A73" s="6" t="inlineStr">
        <is>
          <t>120942</t>
        </is>
      </c>
      <c r="B73" s="6" t="inlineStr">
        <is>
          <t>Calculo</t>
        </is>
      </c>
      <c r="C73" s="6" t="n">
        <v>1579.65</v>
      </c>
      <c r="D73" s="6" t="n">
        <v>0</v>
      </c>
      <c r="E73" s="6" t="n">
        <v>1579.65</v>
      </c>
      <c r="F73" s="6" t="n">
        <v>0</v>
      </c>
      <c r="G73" s="6" t="n">
        <v>0</v>
      </c>
      <c r="H73" s="6" t="n">
        <v>0</v>
      </c>
      <c r="I73" s="6">
        <f>C73+F73</f>
        <v/>
      </c>
      <c r="J73" s="6">
        <f>D73+G73</f>
        <v/>
      </c>
      <c r="K73" s="6">
        <f>E73+H73</f>
        <v/>
      </c>
      <c r="L73" s="6" t="n">
        <v>62756272</v>
      </c>
      <c r="M73" s="6" t="n">
        <v>0</v>
      </c>
      <c r="N73" s="6" t="n">
        <v>62756272</v>
      </c>
      <c r="O73" s="6" t="n">
        <v>0</v>
      </c>
      <c r="P73" s="6" t="n">
        <v>0</v>
      </c>
      <c r="Q73" s="6" t="n">
        <v>0</v>
      </c>
      <c r="R73" s="6">
        <f>L73+O73</f>
        <v/>
      </c>
      <c r="S73" s="6">
        <f>M73+P73</f>
        <v/>
      </c>
      <c r="T73" s="6">
        <f>N73+Q73</f>
        <v/>
      </c>
    </row>
    <row r="74">
      <c r="A74" s="6" t="inlineStr">
        <is>
          <t>120943</t>
        </is>
      </c>
      <c r="B74" s="6" t="inlineStr">
        <is>
          <t>Electricidad</t>
        </is>
      </c>
      <c r="C74" s="6" t="n">
        <v>214</v>
      </c>
      <c r="D74" s="6" t="n">
        <v>0</v>
      </c>
      <c r="E74" s="6" t="n">
        <v>214</v>
      </c>
      <c r="F74" s="6" t="n">
        <v>0</v>
      </c>
      <c r="G74" s="6" t="n">
        <v>0</v>
      </c>
      <c r="H74" s="6" t="n">
        <v>0</v>
      </c>
      <c r="I74" s="6">
        <f>C74+F74</f>
        <v/>
      </c>
      <c r="J74" s="6">
        <f>D74+G74</f>
        <v/>
      </c>
      <c r="K74" s="6">
        <f>E74+H74</f>
        <v/>
      </c>
      <c r="L74" s="6" t="n">
        <v>8501783</v>
      </c>
      <c r="M74" s="6" t="n">
        <v>0</v>
      </c>
      <c r="N74" s="6" t="n">
        <v>8501783</v>
      </c>
      <c r="O74" s="6" t="n">
        <v>0</v>
      </c>
      <c r="P74" s="6" t="n">
        <v>0</v>
      </c>
      <c r="Q74" s="6" t="n">
        <v>0</v>
      </c>
      <c r="R74" s="6">
        <f>L74+O74</f>
        <v/>
      </c>
      <c r="S74" s="6">
        <f>M74+P74</f>
        <v/>
      </c>
      <c r="T74" s="6">
        <f>N74+Q74</f>
        <v/>
      </c>
    </row>
    <row r="75">
      <c r="A75" s="6" t="inlineStr">
        <is>
          <t>120944</t>
        </is>
      </c>
      <c r="B75" s="6" t="inlineStr">
        <is>
          <t>Alcantarillado</t>
        </is>
      </c>
      <c r="C75" s="6" t="n">
        <v>187</v>
      </c>
      <c r="D75" s="6" t="n">
        <v>0</v>
      </c>
      <c r="E75" s="6" t="n">
        <v>187</v>
      </c>
      <c r="F75" s="6" t="n">
        <v>0</v>
      </c>
      <c r="G75" s="6" t="n">
        <v>0</v>
      </c>
      <c r="H75" s="6" t="n">
        <v>0</v>
      </c>
      <c r="I75" s="6">
        <f>C75+F75</f>
        <v/>
      </c>
      <c r="J75" s="6">
        <f>D75+G75</f>
        <v/>
      </c>
      <c r="K75" s="6">
        <f>E75+H75</f>
        <v/>
      </c>
      <c r="L75" s="6" t="n">
        <v>7429129</v>
      </c>
      <c r="M75" s="6" t="n">
        <v>0</v>
      </c>
      <c r="N75" s="6" t="n">
        <v>7429129</v>
      </c>
      <c r="O75" s="6" t="n">
        <v>0</v>
      </c>
      <c r="P75" s="6" t="n">
        <v>0</v>
      </c>
      <c r="Q75" s="6" t="n">
        <v>0</v>
      </c>
      <c r="R75" s="6">
        <f>L75+O75</f>
        <v/>
      </c>
      <c r="S75" s="6">
        <f>M75+P75</f>
        <v/>
      </c>
      <c r="T75" s="6">
        <f>N75+Q75</f>
        <v/>
      </c>
    </row>
    <row r="76">
      <c r="A76" s="6" t="inlineStr">
        <is>
          <t>120945</t>
        </is>
      </c>
      <c r="B76" s="6" t="inlineStr">
        <is>
          <t>A/C y/o Calefaccion</t>
        </is>
      </c>
      <c r="C76" s="6" t="n">
        <v>230</v>
      </c>
      <c r="D76" s="6" t="n">
        <v>0</v>
      </c>
      <c r="E76" s="6" t="n">
        <v>230</v>
      </c>
      <c r="F76" s="6" t="n">
        <v>0</v>
      </c>
      <c r="G76" s="6" t="n">
        <v>0</v>
      </c>
      <c r="H76" s="6" t="n">
        <v>0</v>
      </c>
      <c r="I76" s="6">
        <f>C76+F76</f>
        <v/>
      </c>
      <c r="J76" s="6">
        <f>D76+G76</f>
        <v/>
      </c>
      <c r="K76" s="6">
        <f>E76+H76</f>
        <v/>
      </c>
      <c r="L76" s="6" t="n">
        <v>9137431</v>
      </c>
      <c r="M76" s="6" t="n">
        <v>0</v>
      </c>
      <c r="N76" s="6" t="n">
        <v>9137431</v>
      </c>
      <c r="O76" s="6" t="n">
        <v>0</v>
      </c>
      <c r="P76" s="6" t="n">
        <v>0</v>
      </c>
      <c r="Q76" s="6" t="n">
        <v>0</v>
      </c>
      <c r="R76" s="6">
        <f>L76+O76</f>
        <v/>
      </c>
      <c r="S76" s="6">
        <f>M76+P76</f>
        <v/>
      </c>
      <c r="T76" s="6">
        <f>N76+Q76</f>
        <v/>
      </c>
    </row>
    <row r="77">
      <c r="A77" s="6" t="inlineStr">
        <is>
          <t>120946</t>
        </is>
      </c>
      <c r="B77" s="6" t="inlineStr">
        <is>
          <t>Mecanica de Suelos</t>
        </is>
      </c>
      <c r="C77" s="6" t="n">
        <v>254</v>
      </c>
      <c r="D77" s="6" t="n">
        <v>0</v>
      </c>
      <c r="E77" s="6" t="n">
        <v>254</v>
      </c>
      <c r="F77" s="6" t="n">
        <v>0</v>
      </c>
      <c r="G77" s="6" t="n">
        <v>0</v>
      </c>
      <c r="H77" s="6" t="n">
        <v>0</v>
      </c>
      <c r="I77" s="6">
        <f>C77+F77</f>
        <v/>
      </c>
      <c r="J77" s="6">
        <f>D77+G77</f>
        <v/>
      </c>
      <c r="K77" s="6">
        <f>E77+H77</f>
        <v/>
      </c>
      <c r="L77" s="6" t="n">
        <v>10090902</v>
      </c>
      <c r="M77" s="6" t="n">
        <v>0</v>
      </c>
      <c r="N77" s="6" t="n">
        <v>10090902</v>
      </c>
      <c r="O77" s="6" t="n">
        <v>0</v>
      </c>
      <c r="P77" s="6" t="n">
        <v>0</v>
      </c>
      <c r="Q77" s="6" t="n">
        <v>0</v>
      </c>
      <c r="R77" s="6">
        <f>L77+O77</f>
        <v/>
      </c>
      <c r="S77" s="6">
        <f>M77+P77</f>
        <v/>
      </c>
      <c r="T77" s="6">
        <f>N77+Q77</f>
        <v/>
      </c>
    </row>
    <row r="78">
      <c r="A78" s="6" t="inlineStr">
        <is>
          <t>120947</t>
        </is>
      </c>
      <c r="B78" s="6" t="inlineStr">
        <is>
          <t>Extraccion de Basura</t>
        </is>
      </c>
      <c r="C78" s="6" t="n">
        <v>20</v>
      </c>
      <c r="D78" s="6" t="n">
        <v>0</v>
      </c>
      <c r="E78" s="6" t="n">
        <v>20</v>
      </c>
      <c r="F78" s="6" t="n">
        <v>0</v>
      </c>
      <c r="G78" s="6" t="n">
        <v>0</v>
      </c>
      <c r="H78" s="6" t="n">
        <v>0</v>
      </c>
      <c r="I78" s="6">
        <f>C78+F78</f>
        <v/>
      </c>
      <c r="J78" s="6">
        <f>D78+G78</f>
        <v/>
      </c>
      <c r="K78" s="6">
        <f>E78+H78</f>
        <v/>
      </c>
      <c r="L78" s="6" t="n">
        <v>794559</v>
      </c>
      <c r="M78" s="6" t="n">
        <v>0</v>
      </c>
      <c r="N78" s="6" t="n">
        <v>794559</v>
      </c>
      <c r="O78" s="6" t="n">
        <v>0</v>
      </c>
      <c r="P78" s="6" t="n">
        <v>0</v>
      </c>
      <c r="Q78" s="6" t="n">
        <v>0</v>
      </c>
      <c r="R78" s="6">
        <f>L78+O78</f>
        <v/>
      </c>
      <c r="S78" s="6">
        <f>M78+P78</f>
        <v/>
      </c>
      <c r="T78" s="6">
        <f>N78+Q78</f>
        <v/>
      </c>
    </row>
    <row r="79">
      <c r="A79" s="6" t="inlineStr">
        <is>
          <t>120948</t>
        </is>
      </c>
      <c r="B79" s="6" t="inlineStr">
        <is>
          <t>Analisis Vial Basico</t>
        </is>
      </c>
      <c r="C79" s="6" t="n">
        <v>105</v>
      </c>
      <c r="D79" s="6" t="n">
        <v>0</v>
      </c>
      <c r="E79" s="6" t="n">
        <v>105</v>
      </c>
      <c r="F79" s="6" t="n">
        <v>0</v>
      </c>
      <c r="G79" s="6" t="n">
        <v>0</v>
      </c>
      <c r="H79" s="6" t="n">
        <v>0</v>
      </c>
      <c r="I79" s="6">
        <f>C79+F79</f>
        <v/>
      </c>
      <c r="J79" s="6">
        <f>D79+G79</f>
        <v/>
      </c>
      <c r="K79" s="6">
        <f>E79+H79</f>
        <v/>
      </c>
      <c r="L79" s="6" t="n">
        <v>4177020</v>
      </c>
      <c r="M79" s="6" t="n">
        <v>0</v>
      </c>
      <c r="N79" s="6" t="n">
        <v>4177020</v>
      </c>
      <c r="O79" s="6" t="n">
        <v>0</v>
      </c>
      <c r="P79" s="6" t="n">
        <v>0</v>
      </c>
      <c r="Q79" s="6" t="n">
        <v>0</v>
      </c>
      <c r="R79" s="6">
        <f>L79+O79</f>
        <v/>
      </c>
      <c r="S79" s="6">
        <f>M79+P79</f>
        <v/>
      </c>
      <c r="T79" s="6">
        <f>N79+Q79</f>
        <v/>
      </c>
    </row>
    <row r="80">
      <c r="A80" s="6" t="inlineStr">
        <is>
          <t>120949</t>
        </is>
      </c>
      <c r="B80" s="6" t="inlineStr">
        <is>
          <t>Topografia</t>
        </is>
      </c>
      <c r="C80" s="6" t="n">
        <v>140.94</v>
      </c>
      <c r="D80" s="6" t="n">
        <v>0</v>
      </c>
      <c r="E80" s="6" t="n">
        <v>140.94</v>
      </c>
      <c r="F80" s="6" t="n">
        <v>0</v>
      </c>
      <c r="G80" s="6" t="n">
        <v>0</v>
      </c>
      <c r="H80" s="6" t="n">
        <v>0</v>
      </c>
      <c r="I80" s="6">
        <f>C80+F80</f>
        <v/>
      </c>
      <c r="J80" s="6">
        <f>D80+G80</f>
        <v/>
      </c>
      <c r="K80" s="6">
        <f>E80+H80</f>
        <v/>
      </c>
      <c r="L80" s="6" t="n">
        <v>5599259</v>
      </c>
      <c r="M80" s="6" t="n">
        <v>0</v>
      </c>
      <c r="N80" s="6" t="n">
        <v>5599259</v>
      </c>
      <c r="O80" s="6" t="n">
        <v>0</v>
      </c>
      <c r="P80" s="6" t="n">
        <v>0</v>
      </c>
      <c r="Q80" s="6" t="n">
        <v>0</v>
      </c>
      <c r="R80" s="6">
        <f>L80+O80</f>
        <v/>
      </c>
      <c r="S80" s="6">
        <f>M80+P80</f>
        <v/>
      </c>
      <c r="T80" s="6">
        <f>N80+Q80</f>
        <v/>
      </c>
    </row>
    <row r="81">
      <c r="A81" s="6" t="inlineStr">
        <is>
          <t>120950</t>
        </is>
      </c>
      <c r="B81" s="6" t="inlineStr">
        <is>
          <t>Proyectista Serviu</t>
        </is>
      </c>
      <c r="C81" s="6" t="n">
        <v>703.83</v>
      </c>
      <c r="D81" s="6" t="n">
        <v>0</v>
      </c>
      <c r="E81" s="6" t="n">
        <v>703.83</v>
      </c>
      <c r="F81" s="6" t="n">
        <v>0</v>
      </c>
      <c r="G81" s="6" t="n">
        <v>0</v>
      </c>
      <c r="H81" s="6" t="n">
        <v>0</v>
      </c>
      <c r="I81" s="6">
        <f>C81+F81</f>
        <v/>
      </c>
      <c r="J81" s="6">
        <f>D81+G81</f>
        <v/>
      </c>
      <c r="K81" s="6">
        <f>E81+H81</f>
        <v/>
      </c>
      <c r="L81" s="6" t="n">
        <v>27964974</v>
      </c>
      <c r="M81" s="6" t="n">
        <v>0</v>
      </c>
      <c r="N81" s="6" t="n">
        <v>27964974</v>
      </c>
      <c r="O81" s="6" t="n">
        <v>0</v>
      </c>
      <c r="P81" s="6" t="n">
        <v>0</v>
      </c>
      <c r="Q81" s="6" t="n">
        <v>0</v>
      </c>
      <c r="R81" s="6">
        <f>L81+O81</f>
        <v/>
      </c>
      <c r="S81" s="6">
        <f>M81+P81</f>
        <v/>
      </c>
      <c r="T81" s="6">
        <f>N81+Q81</f>
        <v/>
      </c>
    </row>
    <row r="82">
      <c r="A82" s="6" t="inlineStr">
        <is>
          <t>120951</t>
        </is>
      </c>
      <c r="B82" s="6" t="inlineStr">
        <is>
          <t>Corrientes Debiles</t>
        </is>
      </c>
      <c r="C82" s="6" t="n">
        <v>154</v>
      </c>
      <c r="D82" s="6" t="n">
        <v>0</v>
      </c>
      <c r="E82" s="6" t="n">
        <v>154</v>
      </c>
      <c r="F82" s="6" t="n">
        <v>0</v>
      </c>
      <c r="G82" s="6" t="n">
        <v>0</v>
      </c>
      <c r="H82" s="6" t="n">
        <v>0</v>
      </c>
      <c r="I82" s="6">
        <f>C82+F82</f>
        <v/>
      </c>
      <c r="J82" s="6">
        <f>D82+G82</f>
        <v/>
      </c>
      <c r="K82" s="6">
        <f>E82+H82</f>
        <v/>
      </c>
      <c r="L82" s="6" t="n">
        <v>6119471</v>
      </c>
      <c r="M82" s="6" t="n">
        <v>0</v>
      </c>
      <c r="N82" s="6" t="n">
        <v>6119471</v>
      </c>
      <c r="O82" s="6" t="n">
        <v>0</v>
      </c>
      <c r="P82" s="6" t="n">
        <v>0</v>
      </c>
      <c r="Q82" s="6" t="n">
        <v>0</v>
      </c>
      <c r="R82" s="6">
        <f>L82+O82</f>
        <v/>
      </c>
      <c r="S82" s="6">
        <f>M82+P82</f>
        <v/>
      </c>
      <c r="T82" s="6">
        <f>N82+Q82</f>
        <v/>
      </c>
    </row>
    <row r="83" hidden="1">
      <c r="A83" s="7" t="inlineStr">
        <is>
          <t>120952</t>
        </is>
      </c>
      <c r="B83" s="7" t="inlineStr">
        <is>
          <t>Legales</t>
        </is>
      </c>
      <c r="C83" s="7" t="n">
        <v>0</v>
      </c>
      <c r="D83" s="7" t="n">
        <v>0</v>
      </c>
      <c r="E83" s="7" t="n">
        <v>0</v>
      </c>
      <c r="F83" s="7" t="n">
        <v>0</v>
      </c>
      <c r="G83" s="7" t="n">
        <v>0</v>
      </c>
      <c r="H83" s="7" t="n">
        <v>0</v>
      </c>
      <c r="I83" s="7">
        <f>C83+F83</f>
        <v/>
      </c>
      <c r="J83" s="7">
        <f>D83+G83</f>
        <v/>
      </c>
      <c r="K83" s="7">
        <f>E83+H83</f>
        <v/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>
        <f>L83+O83</f>
        <v/>
      </c>
      <c r="S83" s="7">
        <f>M83+P83</f>
        <v/>
      </c>
      <c r="T83" s="7">
        <f>N83+Q83</f>
        <v/>
      </c>
    </row>
    <row r="84">
      <c r="A84" s="6" t="inlineStr">
        <is>
          <t>120953</t>
        </is>
      </c>
      <c r="B84" s="6" t="inlineStr">
        <is>
          <t>Insp. Tecnica de Obras (ITO)</t>
        </is>
      </c>
      <c r="C84" s="6" t="n">
        <v>510</v>
      </c>
      <c r="D84" s="6" t="n">
        <v>0</v>
      </c>
      <c r="E84" s="6" t="n">
        <v>510</v>
      </c>
      <c r="F84" s="6" t="n">
        <v>0</v>
      </c>
      <c r="G84" s="6" t="n">
        <v>0</v>
      </c>
      <c r="H84" s="6" t="n">
        <v>0</v>
      </c>
      <c r="I84" s="6">
        <f>C84+F84</f>
        <v/>
      </c>
      <c r="J84" s="6">
        <f>D84+G84</f>
        <v/>
      </c>
      <c r="K84" s="6">
        <f>E84+H84</f>
        <v/>
      </c>
      <c r="L84" s="6" t="n">
        <v>20261260</v>
      </c>
      <c r="M84" s="6" t="n">
        <v>0</v>
      </c>
      <c r="N84" s="6" t="n">
        <v>20261260</v>
      </c>
      <c r="O84" s="6" t="n">
        <v>0</v>
      </c>
      <c r="P84" s="6" t="n">
        <v>0</v>
      </c>
      <c r="Q84" s="6" t="n">
        <v>0</v>
      </c>
      <c r="R84" s="6">
        <f>L84+O84</f>
        <v/>
      </c>
      <c r="S84" s="6">
        <f>M84+P84</f>
        <v/>
      </c>
      <c r="T84" s="6">
        <f>N84+Q84</f>
        <v/>
      </c>
    </row>
    <row r="85">
      <c r="A85" s="6" t="inlineStr">
        <is>
          <t>120954</t>
        </is>
      </c>
      <c r="B85" s="6" t="inlineStr">
        <is>
          <t>Legales</t>
        </is>
      </c>
      <c r="C85" s="6" t="n">
        <v>2403.58</v>
      </c>
      <c r="D85" s="6" t="n">
        <v>0</v>
      </c>
      <c r="E85" s="6" t="n">
        <v>2403.58</v>
      </c>
      <c r="F85" s="6" t="n">
        <v>0</v>
      </c>
      <c r="G85" s="6" t="n">
        <v>0</v>
      </c>
      <c r="H85" s="6" t="n">
        <v>0</v>
      </c>
      <c r="I85" s="6">
        <f>C85+F85</f>
        <v/>
      </c>
      <c r="J85" s="6">
        <f>D85+G85</f>
        <v/>
      </c>
      <c r="K85" s="6">
        <f>E85+H85</f>
        <v/>
      </c>
      <c r="L85" s="6" t="n">
        <v>95529129</v>
      </c>
      <c r="M85" s="6" t="n">
        <v>0</v>
      </c>
      <c r="N85" s="6" t="n">
        <v>95529129</v>
      </c>
      <c r="O85" s="6" t="n">
        <v>0</v>
      </c>
      <c r="P85" s="6" t="n">
        <v>0</v>
      </c>
      <c r="Q85" s="6" t="n">
        <v>0</v>
      </c>
      <c r="R85" s="6">
        <f>L85+O85</f>
        <v/>
      </c>
      <c r="S85" s="6">
        <f>M85+P85</f>
        <v/>
      </c>
      <c r="T85" s="6">
        <f>N85+Q85</f>
        <v/>
      </c>
    </row>
    <row r="86">
      <c r="A86" s="6" t="inlineStr">
        <is>
          <t>120955</t>
        </is>
      </c>
      <c r="B86" s="6" t="inlineStr">
        <is>
          <t>Paisajismo</t>
        </is>
      </c>
      <c r="C86" s="6" t="n">
        <v>4095.71</v>
      </c>
      <c r="D86" s="6" t="n">
        <v>0</v>
      </c>
      <c r="E86" s="6" t="n">
        <v>4095.71</v>
      </c>
      <c r="F86" s="6" t="n">
        <v>0</v>
      </c>
      <c r="G86" s="6" t="n">
        <v>0</v>
      </c>
      <c r="H86" s="6" t="n">
        <v>0</v>
      </c>
      <c r="I86" s="6">
        <f>C86+F86</f>
        <v/>
      </c>
      <c r="J86" s="6">
        <f>D86+G86</f>
        <v/>
      </c>
      <c r="K86" s="6">
        <f>E86+H86</f>
        <v/>
      </c>
      <c r="L86" s="6" t="n">
        <v>165790537</v>
      </c>
      <c r="M86" s="6" t="n">
        <v>0</v>
      </c>
      <c r="N86" s="6" t="n">
        <v>165790537</v>
      </c>
      <c r="O86" s="6" t="n">
        <v>0</v>
      </c>
      <c r="P86" s="6" t="n">
        <v>0</v>
      </c>
      <c r="Q86" s="6" t="n">
        <v>0</v>
      </c>
      <c r="R86" s="6">
        <f>L86+O86</f>
        <v/>
      </c>
      <c r="S86" s="6">
        <f>M86+P86</f>
        <v/>
      </c>
      <c r="T86" s="6">
        <f>N86+Q86</f>
        <v/>
      </c>
    </row>
    <row r="87">
      <c r="A87" s="6" t="inlineStr">
        <is>
          <t>120956</t>
        </is>
      </c>
      <c r="B87" s="6" t="inlineStr">
        <is>
          <t>Fotocopia Planos</t>
        </is>
      </c>
      <c r="C87" s="6" t="n">
        <v>15.84</v>
      </c>
      <c r="D87" s="6" t="n">
        <v>0</v>
      </c>
      <c r="E87" s="6" t="n">
        <v>15.84</v>
      </c>
      <c r="F87" s="6" t="n">
        <v>0</v>
      </c>
      <c r="G87" s="6" t="n">
        <v>0</v>
      </c>
      <c r="H87" s="6" t="n">
        <v>0</v>
      </c>
      <c r="I87" s="6">
        <f>C87+F87</f>
        <v/>
      </c>
      <c r="J87" s="6">
        <f>D87+G87</f>
        <v/>
      </c>
      <c r="K87" s="6">
        <f>E87+H87</f>
        <v/>
      </c>
      <c r="L87" s="6" t="n">
        <v>632343</v>
      </c>
      <c r="M87" s="6" t="n">
        <v>0</v>
      </c>
      <c r="N87" s="6" t="n">
        <v>632343</v>
      </c>
      <c r="O87" s="6" t="n">
        <v>0</v>
      </c>
      <c r="P87" s="6" t="n">
        <v>0</v>
      </c>
      <c r="Q87" s="6" t="n">
        <v>0</v>
      </c>
      <c r="R87" s="6">
        <f>L87+O87</f>
        <v/>
      </c>
      <c r="S87" s="6">
        <f>M87+P87</f>
        <v/>
      </c>
      <c r="T87" s="6">
        <f>N87+Q87</f>
        <v/>
      </c>
    </row>
    <row r="88">
      <c r="A88" s="6" t="inlineStr">
        <is>
          <t>120957</t>
        </is>
      </c>
      <c r="B88" s="6" t="inlineStr">
        <is>
          <t>Seguridad</t>
        </is>
      </c>
      <c r="C88" s="6" t="n">
        <v>103</v>
      </c>
      <c r="D88" s="6" t="n">
        <v>0</v>
      </c>
      <c r="E88" s="6" t="n">
        <v>103</v>
      </c>
      <c r="F88" s="6" t="n">
        <v>0</v>
      </c>
      <c r="G88" s="6" t="n">
        <v>0</v>
      </c>
      <c r="H88" s="6" t="n">
        <v>0</v>
      </c>
      <c r="I88" s="6">
        <f>C88+F88</f>
        <v/>
      </c>
      <c r="J88" s="6">
        <f>D88+G88</f>
        <v/>
      </c>
      <c r="K88" s="6">
        <f>E88+H88</f>
        <v/>
      </c>
      <c r="L88" s="6" t="n">
        <v>4135130</v>
      </c>
      <c r="M88" s="6" t="n">
        <v>0</v>
      </c>
      <c r="N88" s="6" t="n">
        <v>4135130</v>
      </c>
      <c r="O88" s="6" t="n">
        <v>0</v>
      </c>
      <c r="P88" s="6" t="n">
        <v>0</v>
      </c>
      <c r="Q88" s="6" t="n">
        <v>0</v>
      </c>
      <c r="R88" s="6">
        <f>L88+O88</f>
        <v/>
      </c>
      <c r="S88" s="6">
        <f>M88+P88</f>
        <v/>
      </c>
      <c r="T88" s="6">
        <f>N88+Q88</f>
        <v/>
      </c>
    </row>
    <row r="89" hidden="1">
      <c r="A89" s="7" t="inlineStr">
        <is>
          <t>120958</t>
        </is>
      </c>
      <c r="B89" s="7" t="inlineStr">
        <is>
          <t>Instalaciones Sanitarias</t>
        </is>
      </c>
      <c r="C89" s="7" t="n">
        <v>0</v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>
        <f>C89+F89</f>
        <v/>
      </c>
      <c r="J89" s="7">
        <f>D89+G89</f>
        <v/>
      </c>
      <c r="K89" s="7">
        <f>E89+H89</f>
        <v/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>
        <f>L89+O89</f>
        <v/>
      </c>
      <c r="S89" s="7">
        <f>M89+P89</f>
        <v/>
      </c>
      <c r="T89" s="7">
        <f>N89+Q89</f>
        <v/>
      </c>
    </row>
    <row r="90">
      <c r="A90" s="6" t="inlineStr">
        <is>
          <t>120959</t>
        </is>
      </c>
      <c r="B90" s="6" t="inlineStr">
        <is>
          <t>Otros Honorarios Profesionales</t>
        </is>
      </c>
      <c r="C90" s="6" t="n">
        <v>775.6400000000001</v>
      </c>
      <c r="D90" s="6" t="n">
        <v>0</v>
      </c>
      <c r="E90" s="6" t="n">
        <v>775.6400000000001</v>
      </c>
      <c r="F90" s="6" t="n">
        <v>0</v>
      </c>
      <c r="G90" s="6" t="n">
        <v>0</v>
      </c>
      <c r="H90" s="6" t="n">
        <v>0</v>
      </c>
      <c r="I90" s="6">
        <f>C90+F90</f>
        <v/>
      </c>
      <c r="J90" s="6">
        <f>D90+G90</f>
        <v/>
      </c>
      <c r="K90" s="6">
        <f>E90+H90</f>
        <v/>
      </c>
      <c r="L90" s="6" t="n">
        <v>30913062</v>
      </c>
      <c r="M90" s="6" t="n">
        <v>0</v>
      </c>
      <c r="N90" s="6" t="n">
        <v>30913062</v>
      </c>
      <c r="O90" s="6" t="n">
        <v>0</v>
      </c>
      <c r="P90" s="6" t="n">
        <v>0</v>
      </c>
      <c r="Q90" s="6" t="n">
        <v>0</v>
      </c>
      <c r="R90" s="6">
        <f>L90+O90</f>
        <v/>
      </c>
      <c r="S90" s="6">
        <f>M90+P90</f>
        <v/>
      </c>
      <c r="T90" s="6">
        <f>N90+Q90</f>
        <v/>
      </c>
    </row>
    <row r="91">
      <c r="A91" s="6" t="inlineStr">
        <is>
          <t>120960</t>
        </is>
      </c>
      <c r="B91" s="6" t="inlineStr">
        <is>
          <t>Calculista Revisor</t>
        </is>
      </c>
      <c r="C91" s="6" t="n">
        <v>234</v>
      </c>
      <c r="D91" s="6" t="n">
        <v>0</v>
      </c>
      <c r="E91" s="6" t="n">
        <v>234</v>
      </c>
      <c r="F91" s="6" t="n">
        <v>0</v>
      </c>
      <c r="G91" s="6" t="n">
        <v>0</v>
      </c>
      <c r="H91" s="6" t="n">
        <v>0</v>
      </c>
      <c r="I91" s="6">
        <f>C91+F91</f>
        <v/>
      </c>
      <c r="J91" s="6">
        <f>D91+G91</f>
        <v/>
      </c>
      <c r="K91" s="6">
        <f>E91+H91</f>
        <v/>
      </c>
      <c r="L91" s="6" t="n">
        <v>9296343</v>
      </c>
      <c r="M91" s="6" t="n">
        <v>0</v>
      </c>
      <c r="N91" s="6" t="n">
        <v>9296343</v>
      </c>
      <c r="O91" s="6" t="n">
        <v>0</v>
      </c>
      <c r="P91" s="6" t="n">
        <v>0</v>
      </c>
      <c r="Q91" s="6" t="n">
        <v>0</v>
      </c>
      <c r="R91" s="6">
        <f>L91+O91</f>
        <v/>
      </c>
      <c r="S91" s="6">
        <f>M91+P91</f>
        <v/>
      </c>
      <c r="T91" s="6">
        <f>N91+Q91</f>
        <v/>
      </c>
    </row>
    <row r="92">
      <c r="A92" s="6" t="inlineStr">
        <is>
          <t>120961</t>
        </is>
      </c>
      <c r="B92" s="6" t="inlineStr">
        <is>
          <t>Building Information Modeling (BIM)</t>
        </is>
      </c>
      <c r="C92" s="6" t="n">
        <v>324.64</v>
      </c>
      <c r="D92" s="6" t="n">
        <v>0</v>
      </c>
      <c r="E92" s="6" t="n">
        <v>324.64</v>
      </c>
      <c r="F92" s="6" t="n">
        <v>0</v>
      </c>
      <c r="G92" s="6" t="n">
        <v>0</v>
      </c>
      <c r="H92" s="6" t="n">
        <v>0</v>
      </c>
      <c r="I92" s="6">
        <f>C92+F92</f>
        <v/>
      </c>
      <c r="J92" s="6">
        <f>D92+G92</f>
        <v/>
      </c>
      <c r="K92" s="6">
        <f>E92+H92</f>
        <v/>
      </c>
      <c r="L92" s="6" t="n">
        <v>12897285</v>
      </c>
      <c r="M92" s="6" t="n">
        <v>0</v>
      </c>
      <c r="N92" s="6" t="n">
        <v>12897285</v>
      </c>
      <c r="O92" s="6" t="n">
        <v>0</v>
      </c>
      <c r="P92" s="6" t="n">
        <v>0</v>
      </c>
      <c r="Q92" s="6" t="n">
        <v>0</v>
      </c>
      <c r="R92" s="6">
        <f>L92+O92</f>
        <v/>
      </c>
      <c r="S92" s="6">
        <f>M92+P92</f>
        <v/>
      </c>
      <c r="T92" s="6">
        <f>N92+Q92</f>
        <v/>
      </c>
    </row>
    <row r="93">
      <c r="A93" s="4" t="inlineStr">
        <is>
          <t>CONSTRUCCION Y URBANIZACION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</row>
    <row r="94">
      <c r="A94" s="6" t="inlineStr">
        <is>
          <t>120971</t>
        </is>
      </c>
      <c r="B94" s="6" t="inlineStr">
        <is>
          <t>Contrato Suma Alzada</t>
        </is>
      </c>
      <c r="C94" s="6" t="n">
        <v>245594.88</v>
      </c>
      <c r="D94" s="6" t="n">
        <v>0</v>
      </c>
      <c r="E94" s="6" t="n">
        <v>245594.88</v>
      </c>
      <c r="F94" s="6" t="n">
        <v>0</v>
      </c>
      <c r="G94" s="6" t="n">
        <v>0</v>
      </c>
      <c r="H94" s="6" t="n">
        <v>0</v>
      </c>
      <c r="I94" s="6">
        <f>C94+F94</f>
        <v/>
      </c>
      <c r="J94" s="6">
        <f>D94+G94</f>
        <v/>
      </c>
      <c r="K94" s="6">
        <f>E94+H94</f>
        <v/>
      </c>
      <c r="L94" s="6" t="n">
        <v>9771507490</v>
      </c>
      <c r="M94" s="6" t="n">
        <v>0</v>
      </c>
      <c r="N94" s="6" t="n">
        <v>9771507490</v>
      </c>
      <c r="O94" s="6" t="n">
        <v>0</v>
      </c>
      <c r="P94" s="6" t="n">
        <v>0</v>
      </c>
      <c r="Q94" s="6" t="n">
        <v>0</v>
      </c>
      <c r="R94" s="6">
        <f>L94+O94</f>
        <v/>
      </c>
      <c r="S94" s="6">
        <f>M94+P94</f>
        <v/>
      </c>
      <c r="T94" s="6">
        <f>N94+Q94</f>
        <v/>
      </c>
    </row>
    <row r="95">
      <c r="A95" s="6" t="inlineStr">
        <is>
          <t>120972</t>
        </is>
      </c>
      <c r="B95" s="6" t="inlineStr">
        <is>
          <t>Credito Especial</t>
        </is>
      </c>
      <c r="C95" s="6" t="n">
        <v>0</v>
      </c>
      <c r="D95" s="6" t="n">
        <v>5702.33</v>
      </c>
      <c r="E95" s="6" t="n">
        <v>-5702.33</v>
      </c>
      <c r="F95" s="6" t="n">
        <v>0</v>
      </c>
      <c r="G95" s="6" t="n">
        <v>0</v>
      </c>
      <c r="H95" s="6" t="n">
        <v>0</v>
      </c>
      <c r="I95" s="6">
        <f>C95+F95</f>
        <v/>
      </c>
      <c r="J95" s="6">
        <f>D95+G95</f>
        <v/>
      </c>
      <c r="K95" s="6">
        <f>E95+H95</f>
        <v/>
      </c>
      <c r="L95" s="6" t="n">
        <v>0</v>
      </c>
      <c r="M95" s="6" t="n">
        <v>226831040</v>
      </c>
      <c r="N95" s="6" t="n">
        <v>-226831040</v>
      </c>
      <c r="O95" s="6" t="n">
        <v>0</v>
      </c>
      <c r="P95" s="6" t="n">
        <v>0</v>
      </c>
      <c r="Q95" s="6" t="n">
        <v>0</v>
      </c>
      <c r="R95" s="6">
        <f>L95+O95</f>
        <v/>
      </c>
      <c r="S95" s="6">
        <f>M95+P95</f>
        <v/>
      </c>
      <c r="T95" s="6">
        <f>N95+Q95</f>
        <v/>
      </c>
    </row>
    <row r="96">
      <c r="A96" s="6" t="inlineStr">
        <is>
          <t>120973</t>
        </is>
      </c>
      <c r="B96" s="6" t="inlineStr">
        <is>
          <t>Otros Const. y Urbanizacion</t>
        </is>
      </c>
      <c r="C96" s="6" t="n">
        <v>2856.7</v>
      </c>
      <c r="D96" s="6" t="n">
        <v>0</v>
      </c>
      <c r="E96" s="6" t="n">
        <v>2856.7</v>
      </c>
      <c r="F96" s="6" t="n">
        <v>0</v>
      </c>
      <c r="G96" s="6" t="n">
        <v>0</v>
      </c>
      <c r="H96" s="6" t="n">
        <v>0</v>
      </c>
      <c r="I96" s="6">
        <f>C96+F96</f>
        <v/>
      </c>
      <c r="J96" s="6">
        <f>D96+G96</f>
        <v/>
      </c>
      <c r="K96" s="6">
        <f>E96+H96</f>
        <v/>
      </c>
      <c r="L96" s="6" t="n">
        <v>115524715</v>
      </c>
      <c r="M96" s="6" t="n">
        <v>0</v>
      </c>
      <c r="N96" s="6" t="n">
        <v>115524715</v>
      </c>
      <c r="O96" s="6" t="n">
        <v>0</v>
      </c>
      <c r="P96" s="6" t="n">
        <v>0</v>
      </c>
      <c r="Q96" s="6" t="n">
        <v>0</v>
      </c>
      <c r="R96" s="6">
        <f>L96+O96</f>
        <v/>
      </c>
      <c r="S96" s="6">
        <f>M96+P96</f>
        <v/>
      </c>
      <c r="T96" s="6">
        <f>N96+Q96</f>
        <v/>
      </c>
    </row>
    <row r="97" hidden="1">
      <c r="A97" s="7" t="inlineStr">
        <is>
          <t>120974</t>
        </is>
      </c>
      <c r="B97" s="7" t="inlineStr">
        <is>
          <t>Subcontratos Inmobiliaria</t>
        </is>
      </c>
      <c r="C97" s="7" t="n">
        <v>0</v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>
        <f>C97+F97</f>
        <v/>
      </c>
      <c r="J97" s="7">
        <f>D97+G97</f>
        <v/>
      </c>
      <c r="K97" s="7">
        <f>E97+H97</f>
        <v/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>
        <f>L97+O97</f>
        <v/>
      </c>
      <c r="S97" s="7">
        <f>M97+P97</f>
        <v/>
      </c>
      <c r="T97" s="7">
        <f>N97+Q97</f>
        <v/>
      </c>
    </row>
    <row r="98" hidden="1">
      <c r="A98" s="7" t="inlineStr">
        <is>
          <t>120975</t>
        </is>
      </c>
      <c r="B98" s="7" t="inlineStr">
        <is>
          <t>Postventa</t>
        </is>
      </c>
      <c r="C98" s="7" t="n">
        <v>0</v>
      </c>
      <c r="D98" s="7" t="n">
        <v>0</v>
      </c>
      <c r="E98" s="7" t="n">
        <v>0</v>
      </c>
      <c r="F98" s="7" t="n">
        <v>0</v>
      </c>
      <c r="G98" s="7" t="n">
        <v>0</v>
      </c>
      <c r="H98" s="7" t="n">
        <v>0</v>
      </c>
      <c r="I98" s="7">
        <f>C98+F98</f>
        <v/>
      </c>
      <c r="J98" s="7">
        <f>D98+G98</f>
        <v/>
      </c>
      <c r="K98" s="7">
        <f>E98+H98</f>
        <v/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>
        <f>L98+O98</f>
        <v/>
      </c>
      <c r="S98" s="7">
        <f>M98+P98</f>
        <v/>
      </c>
      <c r="T98" s="7">
        <f>N98+Q98</f>
        <v/>
      </c>
    </row>
    <row r="99">
      <c r="A99" s="6" t="inlineStr">
        <is>
          <t>120980</t>
        </is>
      </c>
      <c r="B99" s="6" t="inlineStr">
        <is>
          <t>Adicional Empalmes</t>
        </is>
      </c>
      <c r="C99" s="6" t="n">
        <v>95.16</v>
      </c>
      <c r="D99" s="6" t="n">
        <v>0</v>
      </c>
      <c r="E99" s="6" t="n">
        <v>95.16</v>
      </c>
      <c r="F99" s="6" t="n">
        <v>0</v>
      </c>
      <c r="G99" s="6" t="n">
        <v>0</v>
      </c>
      <c r="H99" s="6" t="n">
        <v>0</v>
      </c>
      <c r="I99" s="6">
        <f>C99+F99</f>
        <v/>
      </c>
      <c r="J99" s="6">
        <f>D99+G99</f>
        <v/>
      </c>
      <c r="K99" s="6">
        <f>E99+H99</f>
        <v/>
      </c>
      <c r="L99" s="6" t="n">
        <v>3780513</v>
      </c>
      <c r="M99" s="6" t="n">
        <v>0</v>
      </c>
      <c r="N99" s="6" t="n">
        <v>3780513</v>
      </c>
      <c r="O99" s="6" t="n">
        <v>0</v>
      </c>
      <c r="P99" s="6" t="n">
        <v>0</v>
      </c>
      <c r="Q99" s="6" t="n">
        <v>0</v>
      </c>
      <c r="R99" s="6">
        <f>L99+O99</f>
        <v/>
      </c>
      <c r="S99" s="6">
        <f>M99+P99</f>
        <v/>
      </c>
      <c r="T99" s="6">
        <f>N99+Q99</f>
        <v/>
      </c>
    </row>
    <row r="100">
      <c r="A100" s="6" t="inlineStr">
        <is>
          <t>120981</t>
        </is>
      </c>
      <c r="B100" s="6" t="inlineStr">
        <is>
          <t>Demolicion y Obras Exteriores</t>
        </is>
      </c>
      <c r="C100" s="6" t="n">
        <v>1696.68</v>
      </c>
      <c r="D100" s="6" t="n">
        <v>0</v>
      </c>
      <c r="E100" s="6" t="n">
        <v>1696.68</v>
      </c>
      <c r="F100" s="6" t="n">
        <v>0</v>
      </c>
      <c r="G100" s="6" t="n">
        <v>0</v>
      </c>
      <c r="H100" s="6" t="n">
        <v>0</v>
      </c>
      <c r="I100" s="6">
        <f>C100+F100</f>
        <v/>
      </c>
      <c r="J100" s="6">
        <f>D100+G100</f>
        <v/>
      </c>
      <c r="K100" s="6">
        <f>E100+H100</f>
        <v/>
      </c>
      <c r="L100" s="6" t="n">
        <v>67405635</v>
      </c>
      <c r="M100" s="6" t="n">
        <v>0</v>
      </c>
      <c r="N100" s="6" t="n">
        <v>67405635</v>
      </c>
      <c r="O100" s="6" t="n">
        <v>0</v>
      </c>
      <c r="P100" s="6" t="n">
        <v>0</v>
      </c>
      <c r="Q100" s="6" t="n">
        <v>0</v>
      </c>
      <c r="R100" s="6">
        <f>L100+O100</f>
        <v/>
      </c>
      <c r="S100" s="6">
        <f>M100+P100</f>
        <v/>
      </c>
      <c r="T100" s="6">
        <f>N100+Q100</f>
        <v/>
      </c>
    </row>
    <row r="101">
      <c r="A101" s="4" t="inlineStr">
        <is>
          <t>TRASPASOS</t>
        </is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</row>
    <row r="102">
      <c r="A102" s="4" t="inlineStr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</row>
    <row r="103">
      <c r="A103" s="4" t="inlineStr">
        <is>
          <t>EXISTENCIA DE INMUEBLES</t>
        </is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</row>
    <row r="104" hidden="1">
      <c r="A104" s="7" t="inlineStr">
        <is>
          <t>120991</t>
        </is>
      </c>
      <c r="B104" s="7" t="inlineStr">
        <is>
          <t>Oficinas</t>
        </is>
      </c>
      <c r="C104" s="7" t="n">
        <v>0</v>
      </c>
      <c r="D104" s="7" t="n">
        <v>0</v>
      </c>
      <c r="E104" s="7" t="n">
        <v>0</v>
      </c>
      <c r="F104" s="7" t="n">
        <v>0</v>
      </c>
      <c r="G104" s="7" t="n">
        <v>0</v>
      </c>
      <c r="H104" s="7" t="n">
        <v>0</v>
      </c>
      <c r="I104" s="7">
        <f>C104+F104</f>
        <v/>
      </c>
      <c r="J104" s="7">
        <f>D104+G104</f>
        <v/>
      </c>
      <c r="K104" s="7">
        <f>E104+H104</f>
        <v/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>
        <f>L104+O104</f>
        <v/>
      </c>
      <c r="S104" s="7">
        <f>M104+P104</f>
        <v/>
      </c>
      <c r="T104" s="7">
        <f>N104+Q104</f>
        <v/>
      </c>
    </row>
    <row r="105" hidden="1">
      <c r="A105" s="7" t="inlineStr">
        <is>
          <t>120993</t>
        </is>
      </c>
      <c r="B105" s="7" t="inlineStr">
        <is>
          <t>Bodegas</t>
        </is>
      </c>
      <c r="C105" s="7" t="n">
        <v>0</v>
      </c>
      <c r="D105" s="7" t="n">
        <v>0</v>
      </c>
      <c r="E105" s="7" t="n">
        <v>0</v>
      </c>
      <c r="F105" s="7" t="n">
        <v>0</v>
      </c>
      <c r="G105" s="7" t="n">
        <v>0</v>
      </c>
      <c r="H105" s="7" t="n">
        <v>0</v>
      </c>
      <c r="I105" s="7">
        <f>C105+F105</f>
        <v/>
      </c>
      <c r="J105" s="7">
        <f>D105+G105</f>
        <v/>
      </c>
      <c r="K105" s="7">
        <f>E105+H105</f>
        <v/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>
        <f>L105+O105</f>
        <v/>
      </c>
      <c r="S105" s="7">
        <f>M105+P105</f>
        <v/>
      </c>
      <c r="T105" s="7">
        <f>N105+Q105</f>
        <v/>
      </c>
    </row>
    <row r="106" hidden="1">
      <c r="A106" s="7" t="inlineStr">
        <is>
          <t>120994</t>
        </is>
      </c>
      <c r="B106" s="7" t="inlineStr">
        <is>
          <t>Estacionamientos</t>
        </is>
      </c>
      <c r="C106" s="7" t="n">
        <v>0</v>
      </c>
      <c r="D106" s="7" t="n">
        <v>0</v>
      </c>
      <c r="E106" s="7" t="n">
        <v>0</v>
      </c>
      <c r="F106" s="7" t="n">
        <v>0</v>
      </c>
      <c r="G106" s="7" t="n">
        <v>0</v>
      </c>
      <c r="H106" s="7" t="n">
        <v>0</v>
      </c>
      <c r="I106" s="7">
        <f>C106+F106</f>
        <v/>
      </c>
      <c r="J106" s="7">
        <f>D106+G106</f>
        <v/>
      </c>
      <c r="K106" s="7">
        <f>E106+H106</f>
        <v/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>
        <f>L106+O106</f>
        <v/>
      </c>
      <c r="S106" s="7">
        <f>M106+P106</f>
        <v/>
      </c>
      <c r="T106" s="7">
        <f>N106+Q106</f>
        <v/>
      </c>
    </row>
    <row r="107" hidden="1">
      <c r="A107" s="7" t="inlineStr">
        <is>
          <t>120995</t>
        </is>
      </c>
      <c r="B107" s="7" t="inlineStr">
        <is>
          <t>Locales Comerciales</t>
        </is>
      </c>
      <c r="C107" s="7" t="n">
        <v>0</v>
      </c>
      <c r="D107" s="7" t="n">
        <v>0</v>
      </c>
      <c r="E107" s="7" t="n">
        <v>0</v>
      </c>
      <c r="F107" s="7" t="n">
        <v>0</v>
      </c>
      <c r="G107" s="7" t="n">
        <v>0</v>
      </c>
      <c r="H107" s="7" t="n">
        <v>0</v>
      </c>
      <c r="I107" s="7">
        <f>C107+F107</f>
        <v/>
      </c>
      <c r="J107" s="7">
        <f>D107+G107</f>
        <v/>
      </c>
      <c r="K107" s="7">
        <f>E107+H107</f>
        <v/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>
        <f>L107+O107</f>
        <v/>
      </c>
      <c r="S107" s="7">
        <f>M107+P107</f>
        <v/>
      </c>
      <c r="T107" s="7">
        <f>N107+Q107</f>
        <v/>
      </c>
    </row>
    <row r="108" hidden="1">
      <c r="A108" s="7" t="inlineStr">
        <is>
          <t>120996</t>
        </is>
      </c>
      <c r="B108" s="7" t="inlineStr">
        <is>
          <t>Mix Otros Inmuebles</t>
        </is>
      </c>
      <c r="C108" s="7" t="n">
        <v>0</v>
      </c>
      <c r="D108" s="7" t="n">
        <v>0</v>
      </c>
      <c r="E108" s="7" t="n">
        <v>0</v>
      </c>
      <c r="F108" s="7" t="n">
        <v>0</v>
      </c>
      <c r="G108" s="7" t="n">
        <v>0</v>
      </c>
      <c r="H108" s="7" t="n">
        <v>0</v>
      </c>
      <c r="I108" s="7">
        <f>C108+F108</f>
        <v/>
      </c>
      <c r="J108" s="7">
        <f>D108+G108</f>
        <v/>
      </c>
      <c r="K108" s="7">
        <f>E108+H108</f>
        <v/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>
        <f>L108+O108</f>
        <v/>
      </c>
      <c r="S108" s="7">
        <f>M108+P108</f>
        <v/>
      </c>
      <c r="T108" s="7">
        <f>N108+Q108</f>
        <v/>
      </c>
    </row>
    <row r="109" hidden="1">
      <c r="A109" s="7" t="inlineStr">
        <is>
          <t>120997</t>
        </is>
      </c>
      <c r="B109" s="7" t="inlineStr">
        <is>
          <t>Edificio Terminado</t>
        </is>
      </c>
      <c r="C109" s="7" t="n">
        <v>0</v>
      </c>
      <c r="D109" s="7" t="n">
        <v>0</v>
      </c>
      <c r="E109" s="7" t="n">
        <v>0</v>
      </c>
      <c r="F109" s="7" t="n">
        <v>0</v>
      </c>
      <c r="G109" s="7" t="n">
        <v>0</v>
      </c>
      <c r="H109" s="7" t="n">
        <v>0</v>
      </c>
      <c r="I109" s="7">
        <f>C109+F109</f>
        <v/>
      </c>
      <c r="J109" s="7">
        <f>D109+G109</f>
        <v/>
      </c>
      <c r="K109" s="7">
        <f>E109+H109</f>
        <v/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>
        <f>L109+O109</f>
        <v/>
      </c>
      <c r="S109" s="7">
        <f>M109+P109</f>
        <v/>
      </c>
      <c r="T109" s="7">
        <f>N109+Q109</f>
        <v/>
      </c>
    </row>
    <row r="110" ht="18" customHeight="1">
      <c r="A110" s="1" t="inlineStr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</row>
    <row r="111">
      <c r="A111" s="4" t="inlineStr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</row>
    <row r="112">
      <c r="A112" s="4" t="inlineStr">
        <is>
          <t>MARKETING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</row>
    <row r="113">
      <c r="A113" s="6" t="inlineStr">
        <is>
          <t>121011</t>
        </is>
      </c>
      <c r="B113" s="6" t="inlineStr">
        <is>
          <t>Publicidad en Medios</t>
        </is>
      </c>
      <c r="C113" s="6" t="n">
        <v>2846.550000000001</v>
      </c>
      <c r="D113" s="6" t="n">
        <v>0</v>
      </c>
      <c r="E113" s="6" t="n">
        <v>2846.550000000001</v>
      </c>
      <c r="F113" s="6" t="n">
        <v>0</v>
      </c>
      <c r="G113" s="6" t="n">
        <v>0</v>
      </c>
      <c r="H113" s="6" t="n">
        <v>0</v>
      </c>
      <c r="I113" s="6">
        <f>C113+F113</f>
        <v/>
      </c>
      <c r="J113" s="6">
        <f>D113+G113</f>
        <v/>
      </c>
      <c r="K113" s="6">
        <f>E113+H113</f>
        <v/>
      </c>
      <c r="L113" s="6" t="n">
        <v>113583842</v>
      </c>
      <c r="M113" s="6" t="n">
        <v>0</v>
      </c>
      <c r="N113" s="6" t="n">
        <v>113583842</v>
      </c>
      <c r="O113" s="6" t="n">
        <v>0</v>
      </c>
      <c r="P113" s="6" t="n">
        <v>0</v>
      </c>
      <c r="Q113" s="6" t="n">
        <v>0</v>
      </c>
      <c r="R113" s="6">
        <f>L113+O113</f>
        <v/>
      </c>
      <c r="S113" s="6">
        <f>M113+P113</f>
        <v/>
      </c>
      <c r="T113" s="6">
        <f>N113+Q113</f>
        <v/>
      </c>
    </row>
    <row r="114">
      <c r="A114" s="6" t="inlineStr">
        <is>
          <t>121012</t>
        </is>
      </c>
      <c r="B114" s="6" t="inlineStr">
        <is>
          <t>Honorarios Publicista</t>
        </is>
      </c>
      <c r="C114" s="6" t="n">
        <v>1151.12</v>
      </c>
      <c r="D114" s="6" t="n">
        <v>0</v>
      </c>
      <c r="E114" s="6" t="n">
        <v>1151.12</v>
      </c>
      <c r="F114" s="6" t="n">
        <v>0</v>
      </c>
      <c r="G114" s="6" t="n">
        <v>0</v>
      </c>
      <c r="H114" s="6" t="n">
        <v>0</v>
      </c>
      <c r="I114" s="6">
        <f>C114+F114</f>
        <v/>
      </c>
      <c r="J114" s="6">
        <f>D114+G114</f>
        <v/>
      </c>
      <c r="K114" s="6">
        <f>E114+H114</f>
        <v/>
      </c>
      <c r="L114" s="6" t="n">
        <v>45732617</v>
      </c>
      <c r="M114" s="6" t="n">
        <v>0</v>
      </c>
      <c r="N114" s="6" t="n">
        <v>45732617</v>
      </c>
      <c r="O114" s="6" t="n">
        <v>0</v>
      </c>
      <c r="P114" s="6" t="n">
        <v>0</v>
      </c>
      <c r="Q114" s="6" t="n">
        <v>0</v>
      </c>
      <c r="R114" s="6">
        <f>L114+O114</f>
        <v/>
      </c>
      <c r="S114" s="6">
        <f>M114+P114</f>
        <v/>
      </c>
      <c r="T114" s="6">
        <f>N114+Q114</f>
        <v/>
      </c>
    </row>
    <row r="115">
      <c r="A115" s="6" t="inlineStr">
        <is>
          <t>121013</t>
        </is>
      </c>
      <c r="B115" s="6" t="inlineStr">
        <is>
          <t>Material de Distribucion</t>
        </is>
      </c>
      <c r="C115" s="6" t="n">
        <v>65.93000000000001</v>
      </c>
      <c r="D115" s="6" t="n">
        <v>0</v>
      </c>
      <c r="E115" s="6" t="n">
        <v>65.93000000000001</v>
      </c>
      <c r="F115" s="6" t="n">
        <v>0</v>
      </c>
      <c r="G115" s="6" t="n">
        <v>0</v>
      </c>
      <c r="H115" s="6" t="n">
        <v>0</v>
      </c>
      <c r="I115" s="6">
        <f>C115+F115</f>
        <v/>
      </c>
      <c r="J115" s="6">
        <f>D115+G115</f>
        <v/>
      </c>
      <c r="K115" s="6">
        <f>E115+H115</f>
        <v/>
      </c>
      <c r="L115" s="6" t="n">
        <v>2619264</v>
      </c>
      <c r="M115" s="6" t="n">
        <v>0</v>
      </c>
      <c r="N115" s="6" t="n">
        <v>2619264</v>
      </c>
      <c r="O115" s="6" t="n">
        <v>0</v>
      </c>
      <c r="P115" s="6" t="n">
        <v>0</v>
      </c>
      <c r="Q115" s="6" t="n">
        <v>0</v>
      </c>
      <c r="R115" s="6">
        <f>L115+O115</f>
        <v/>
      </c>
      <c r="S115" s="6">
        <f>M115+P115</f>
        <v/>
      </c>
      <c r="T115" s="6">
        <f>N115+Q115</f>
        <v/>
      </c>
    </row>
    <row r="116">
      <c r="A116" s="6" t="inlineStr">
        <is>
          <t>121015</t>
        </is>
      </c>
      <c r="B116" s="6" t="inlineStr">
        <is>
          <t>Señalética</t>
        </is>
      </c>
      <c r="C116" s="6" t="n">
        <v>785.0600000000001</v>
      </c>
      <c r="D116" s="6" t="n">
        <v>0</v>
      </c>
      <c r="E116" s="6" t="n">
        <v>785.0600000000001</v>
      </c>
      <c r="F116" s="6" t="n">
        <v>0</v>
      </c>
      <c r="G116" s="6" t="n">
        <v>0</v>
      </c>
      <c r="H116" s="6" t="n">
        <v>0</v>
      </c>
      <c r="I116" s="6">
        <f>C116+F116</f>
        <v/>
      </c>
      <c r="J116" s="6">
        <f>D116+G116</f>
        <v/>
      </c>
      <c r="K116" s="6">
        <f>E116+H116</f>
        <v/>
      </c>
      <c r="L116" s="6" t="n">
        <v>31195027</v>
      </c>
      <c r="M116" s="6" t="n">
        <v>0</v>
      </c>
      <c r="N116" s="6" t="n">
        <v>31195027</v>
      </c>
      <c r="O116" s="6" t="n">
        <v>0</v>
      </c>
      <c r="P116" s="6" t="n">
        <v>0</v>
      </c>
      <c r="Q116" s="6" t="n">
        <v>0</v>
      </c>
      <c r="R116" s="6">
        <f>L116+O116</f>
        <v/>
      </c>
      <c r="S116" s="6">
        <f>M116+P116</f>
        <v/>
      </c>
      <c r="T116" s="6">
        <f>N116+Q116</f>
        <v/>
      </c>
    </row>
    <row r="117">
      <c r="A117" s="6" t="inlineStr">
        <is>
          <t>121016</t>
        </is>
      </c>
      <c r="B117" s="6" t="inlineStr">
        <is>
          <t>Estudio de Mercado</t>
        </is>
      </c>
      <c r="C117" s="6" t="n">
        <v>33</v>
      </c>
      <c r="D117" s="6" t="n">
        <v>0</v>
      </c>
      <c r="E117" s="6" t="n">
        <v>33</v>
      </c>
      <c r="F117" s="6" t="n">
        <v>0</v>
      </c>
      <c r="G117" s="6" t="n">
        <v>0</v>
      </c>
      <c r="H117" s="6" t="n">
        <v>0</v>
      </c>
      <c r="I117" s="6">
        <f>C117+F117</f>
        <v/>
      </c>
      <c r="J117" s="6">
        <f>D117+G117</f>
        <v/>
      </c>
      <c r="K117" s="6">
        <f>E117+H117</f>
        <v/>
      </c>
      <c r="L117" s="6" t="n">
        <v>1311023</v>
      </c>
      <c r="M117" s="6" t="n">
        <v>0</v>
      </c>
      <c r="N117" s="6" t="n">
        <v>1311023</v>
      </c>
      <c r="O117" s="6" t="n">
        <v>0</v>
      </c>
      <c r="P117" s="6" t="n">
        <v>0</v>
      </c>
      <c r="Q117" s="6" t="n">
        <v>0</v>
      </c>
      <c r="R117" s="6">
        <f>L117+O117</f>
        <v/>
      </c>
      <c r="S117" s="6">
        <f>M117+P117</f>
        <v/>
      </c>
      <c r="T117" s="6">
        <f>N117+Q117</f>
        <v/>
      </c>
    </row>
    <row r="118">
      <c r="A118" s="6" t="inlineStr">
        <is>
          <t>121017</t>
        </is>
      </c>
      <c r="B118" s="6" t="inlineStr">
        <is>
          <t>Otras Asesorías</t>
        </is>
      </c>
      <c r="C118" s="6" t="n">
        <v>51.95</v>
      </c>
      <c r="D118" s="6" t="n">
        <v>0</v>
      </c>
      <c r="E118" s="6" t="n">
        <v>51.95</v>
      </c>
      <c r="F118" s="6" t="n">
        <v>0</v>
      </c>
      <c r="G118" s="6" t="n">
        <v>0</v>
      </c>
      <c r="H118" s="6" t="n">
        <v>0</v>
      </c>
      <c r="I118" s="6">
        <f>C118+F118</f>
        <v/>
      </c>
      <c r="J118" s="6">
        <f>D118+G118</f>
        <v/>
      </c>
      <c r="K118" s="6">
        <f>E118+H118</f>
        <v/>
      </c>
      <c r="L118" s="6" t="n">
        <v>2063868</v>
      </c>
      <c r="M118" s="6" t="n">
        <v>0</v>
      </c>
      <c r="N118" s="6" t="n">
        <v>2063868</v>
      </c>
      <c r="O118" s="6" t="n">
        <v>0</v>
      </c>
      <c r="P118" s="6" t="n">
        <v>0</v>
      </c>
      <c r="Q118" s="6" t="n">
        <v>0</v>
      </c>
      <c r="R118" s="6">
        <f>L118+O118</f>
        <v/>
      </c>
      <c r="S118" s="6">
        <f>M118+P118</f>
        <v/>
      </c>
      <c r="T118" s="6">
        <f>N118+Q118</f>
        <v/>
      </c>
    </row>
    <row r="119">
      <c r="A119" s="4" t="inlineStr">
        <is>
          <t>PILOTO Y SALA DE VENTA</t>
        </is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</row>
    <row r="120">
      <c r="A120" s="6" t="inlineStr">
        <is>
          <t>121021</t>
        </is>
      </c>
      <c r="B120" s="6" t="inlineStr">
        <is>
          <t>Construccion Sala de Ventas</t>
        </is>
      </c>
      <c r="C120" s="6" t="n">
        <v>1390.82</v>
      </c>
      <c r="D120" s="6" t="n">
        <v>0</v>
      </c>
      <c r="E120" s="6" t="n">
        <v>1390.82</v>
      </c>
      <c r="F120" s="6" t="n">
        <v>0</v>
      </c>
      <c r="G120" s="6" t="n">
        <v>0</v>
      </c>
      <c r="H120" s="6" t="n">
        <v>0</v>
      </c>
      <c r="I120" s="6">
        <f>C120+F120</f>
        <v/>
      </c>
      <c r="J120" s="6">
        <f>D120+G120</f>
        <v/>
      </c>
      <c r="K120" s="6">
        <f>E120+H120</f>
        <v/>
      </c>
      <c r="L120" s="6" t="n">
        <v>55254441</v>
      </c>
      <c r="M120" s="6" t="n">
        <v>0</v>
      </c>
      <c r="N120" s="6" t="n">
        <v>55254441</v>
      </c>
      <c r="O120" s="6" t="n">
        <v>0</v>
      </c>
      <c r="P120" s="6" t="n">
        <v>0</v>
      </c>
      <c r="Q120" s="6" t="n">
        <v>0</v>
      </c>
      <c r="R120" s="6">
        <f>L120+O120</f>
        <v/>
      </c>
      <c r="S120" s="6">
        <f>M120+P120</f>
        <v/>
      </c>
      <c r="T120" s="6">
        <f>N120+Q120</f>
        <v/>
      </c>
    </row>
    <row r="121">
      <c r="A121" s="6" t="inlineStr">
        <is>
          <t>121022</t>
        </is>
      </c>
      <c r="B121" s="6" t="inlineStr">
        <is>
          <t>Construccion Piloto</t>
        </is>
      </c>
      <c r="C121" s="6" t="n">
        <v>846.22</v>
      </c>
      <c r="D121" s="6" t="n">
        <v>0</v>
      </c>
      <c r="E121" s="6" t="n">
        <v>846.22</v>
      </c>
      <c r="F121" s="6" t="n">
        <v>0</v>
      </c>
      <c r="G121" s="6" t="n">
        <v>0</v>
      </c>
      <c r="H121" s="6" t="n">
        <v>0</v>
      </c>
      <c r="I121" s="6">
        <f>C121+F121</f>
        <v/>
      </c>
      <c r="J121" s="6">
        <f>D121+G121</f>
        <v/>
      </c>
      <c r="K121" s="6">
        <f>E121+H121</f>
        <v/>
      </c>
      <c r="L121" s="6" t="n">
        <v>33618594</v>
      </c>
      <c r="M121" s="6" t="n">
        <v>0</v>
      </c>
      <c r="N121" s="6" t="n">
        <v>33618594</v>
      </c>
      <c r="O121" s="6" t="n">
        <v>0</v>
      </c>
      <c r="P121" s="6" t="n">
        <v>0</v>
      </c>
      <c r="Q121" s="6" t="n">
        <v>0</v>
      </c>
      <c r="R121" s="6">
        <f>L121+O121</f>
        <v/>
      </c>
      <c r="S121" s="6">
        <f>M121+P121</f>
        <v/>
      </c>
      <c r="T121" s="6">
        <f>N121+Q121</f>
        <v/>
      </c>
    </row>
    <row r="122">
      <c r="A122" s="6" t="inlineStr">
        <is>
          <t>121023</t>
        </is>
      </c>
      <c r="B122" s="6" t="inlineStr">
        <is>
          <t>Decoracion Piloto</t>
        </is>
      </c>
      <c r="C122" s="6" t="n">
        <v>199.37</v>
      </c>
      <c r="D122" s="6" t="n">
        <v>0</v>
      </c>
      <c r="E122" s="6" t="n">
        <v>199.37</v>
      </c>
      <c r="F122" s="6" t="n">
        <v>0</v>
      </c>
      <c r="G122" s="6" t="n">
        <v>0</v>
      </c>
      <c r="H122" s="6" t="n">
        <v>0</v>
      </c>
      <c r="I122" s="6">
        <f>C122+F122</f>
        <v/>
      </c>
      <c r="J122" s="6">
        <f>D122+G122</f>
        <v/>
      </c>
      <c r="K122" s="6">
        <f>E122+H122</f>
        <v/>
      </c>
      <c r="L122" s="6" t="n">
        <v>7987205</v>
      </c>
      <c r="M122" s="6" t="n">
        <v>0</v>
      </c>
      <c r="N122" s="6" t="n">
        <v>7987205</v>
      </c>
      <c r="O122" s="6" t="n">
        <v>0</v>
      </c>
      <c r="P122" s="6" t="n">
        <v>0</v>
      </c>
      <c r="Q122" s="6" t="n">
        <v>0</v>
      </c>
      <c r="R122" s="6">
        <f>L122+O122</f>
        <v/>
      </c>
      <c r="S122" s="6">
        <f>M122+P122</f>
        <v/>
      </c>
      <c r="T122" s="6">
        <f>N122+Q122</f>
        <v/>
      </c>
    </row>
    <row r="123">
      <c r="A123" s="6" t="inlineStr">
        <is>
          <t>121025</t>
        </is>
      </c>
      <c r="B123" s="6" t="inlineStr">
        <is>
          <t>Equipamiento Computacional</t>
        </is>
      </c>
      <c r="C123" s="6" t="n">
        <v>0.59</v>
      </c>
      <c r="D123" s="6" t="n">
        <v>0</v>
      </c>
      <c r="E123" s="6" t="n">
        <v>0.59</v>
      </c>
      <c r="F123" s="6" t="n">
        <v>0</v>
      </c>
      <c r="G123" s="6" t="n">
        <v>0</v>
      </c>
      <c r="H123" s="6" t="n">
        <v>0</v>
      </c>
      <c r="I123" s="6">
        <f>C123+F123</f>
        <v/>
      </c>
      <c r="J123" s="6">
        <f>D123+G123</f>
        <v/>
      </c>
      <c r="K123" s="6">
        <f>E123+H123</f>
        <v/>
      </c>
      <c r="L123" s="6" t="n">
        <v>23439</v>
      </c>
      <c r="M123" s="6" t="n">
        <v>0</v>
      </c>
      <c r="N123" s="6" t="n">
        <v>23439</v>
      </c>
      <c r="O123" s="6" t="n">
        <v>0</v>
      </c>
      <c r="P123" s="6" t="n">
        <v>0</v>
      </c>
      <c r="Q123" s="6" t="n">
        <v>0</v>
      </c>
      <c r="R123" s="6">
        <f>L123+O123</f>
        <v/>
      </c>
      <c r="S123" s="6">
        <f>M123+P123</f>
        <v/>
      </c>
      <c r="T123" s="6">
        <f>N123+Q123</f>
        <v/>
      </c>
    </row>
    <row r="124">
      <c r="A124" s="6" t="inlineStr">
        <is>
          <t>121026</t>
        </is>
      </c>
      <c r="B124" s="6" t="inlineStr">
        <is>
          <t>Mobiliario Sala de Ventas</t>
        </is>
      </c>
      <c r="C124" s="6" t="n">
        <v>61</v>
      </c>
      <c r="D124" s="6" t="n">
        <v>0</v>
      </c>
      <c r="E124" s="6" t="n">
        <v>61</v>
      </c>
      <c r="F124" s="6" t="n">
        <v>0</v>
      </c>
      <c r="G124" s="6" t="n">
        <v>0</v>
      </c>
      <c r="H124" s="6" t="n">
        <v>0</v>
      </c>
      <c r="I124" s="6">
        <f>C124+F124</f>
        <v/>
      </c>
      <c r="J124" s="6">
        <f>D124+G124</f>
        <v/>
      </c>
      <c r="K124" s="6">
        <f>E124+H124</f>
        <v/>
      </c>
      <c r="L124" s="6" t="n">
        <v>2423406</v>
      </c>
      <c r="M124" s="6" t="n">
        <v>0</v>
      </c>
      <c r="N124" s="6" t="n">
        <v>2423406</v>
      </c>
      <c r="O124" s="6" t="n">
        <v>0</v>
      </c>
      <c r="P124" s="6" t="n">
        <v>0</v>
      </c>
      <c r="Q124" s="6" t="n">
        <v>0</v>
      </c>
      <c r="R124" s="6">
        <f>L124+O124</f>
        <v/>
      </c>
      <c r="S124" s="6">
        <f>M124+P124</f>
        <v/>
      </c>
      <c r="T124" s="6">
        <f>N124+Q124</f>
        <v/>
      </c>
    </row>
    <row r="125">
      <c r="A125" s="6" t="inlineStr">
        <is>
          <t>121027</t>
        </is>
      </c>
      <c r="B125" s="6" t="inlineStr">
        <is>
          <t>Gastos Generales Sala de Ventas</t>
        </is>
      </c>
      <c r="C125" s="6" t="n">
        <v>834.7299999999998</v>
      </c>
      <c r="D125" s="6" t="n">
        <v>3.18</v>
      </c>
      <c r="E125" s="6" t="n">
        <v>831.5499999999998</v>
      </c>
      <c r="F125" s="6" t="n">
        <v>0</v>
      </c>
      <c r="G125" s="6" t="n">
        <v>0</v>
      </c>
      <c r="H125" s="6" t="n">
        <v>0</v>
      </c>
      <c r="I125" s="6">
        <f>C125+F125</f>
        <v/>
      </c>
      <c r="J125" s="6">
        <f>D125+G125</f>
        <v/>
      </c>
      <c r="K125" s="6">
        <f>E125+H125</f>
        <v/>
      </c>
      <c r="L125" s="6" t="n">
        <v>33295477</v>
      </c>
      <c r="M125" s="6" t="n">
        <v>127630</v>
      </c>
      <c r="N125" s="6" t="n">
        <v>33167847</v>
      </c>
      <c r="O125" s="6" t="n">
        <v>0</v>
      </c>
      <c r="P125" s="6" t="n">
        <v>0</v>
      </c>
      <c r="Q125" s="6" t="n">
        <v>0</v>
      </c>
      <c r="R125" s="6">
        <f>L125+O125</f>
        <v/>
      </c>
      <c r="S125" s="6">
        <f>M125+P125</f>
        <v/>
      </c>
      <c r="T125" s="6">
        <f>N125+Q125</f>
        <v/>
      </c>
    </row>
    <row r="126">
      <c r="A126" s="6" t="inlineStr">
        <is>
          <t>121028</t>
        </is>
      </c>
      <c r="B126" s="6" t="inlineStr">
        <is>
          <t>Sistema Cotizacion Sala de Ventas</t>
        </is>
      </c>
      <c r="C126" s="6" t="n">
        <v>398.31</v>
      </c>
      <c r="D126" s="6" t="n">
        <v>0</v>
      </c>
      <c r="E126" s="6" t="n">
        <v>398.31</v>
      </c>
      <c r="F126" s="6" t="n">
        <v>0</v>
      </c>
      <c r="G126" s="6" t="n">
        <v>0</v>
      </c>
      <c r="H126" s="6" t="n">
        <v>0</v>
      </c>
      <c r="I126" s="6">
        <f>C126+F126</f>
        <v/>
      </c>
      <c r="J126" s="6">
        <f>D126+G126</f>
        <v/>
      </c>
      <c r="K126" s="6">
        <f>E126+H126</f>
        <v/>
      </c>
      <c r="L126" s="6" t="n">
        <v>15850593</v>
      </c>
      <c r="M126" s="6" t="n">
        <v>0</v>
      </c>
      <c r="N126" s="6" t="n">
        <v>15850593</v>
      </c>
      <c r="O126" s="6" t="n">
        <v>0</v>
      </c>
      <c r="P126" s="6" t="n">
        <v>0</v>
      </c>
      <c r="Q126" s="6" t="n">
        <v>0</v>
      </c>
      <c r="R126" s="6">
        <f>L126+O126</f>
        <v/>
      </c>
      <c r="S126" s="6">
        <f>M126+P126</f>
        <v/>
      </c>
      <c r="T126" s="6">
        <f>N126+Q126</f>
        <v/>
      </c>
    </row>
    <row r="127">
      <c r="A127" s="6" t="inlineStr">
        <is>
          <t>121029</t>
        </is>
      </c>
      <c r="B127" s="6" t="inlineStr">
        <is>
          <t>Soporte y Mantencion Informatica</t>
        </is>
      </c>
      <c r="C127" s="6" t="n">
        <v>55.71</v>
      </c>
      <c r="D127" s="6" t="n">
        <v>0</v>
      </c>
      <c r="E127" s="6" t="n">
        <v>55.71</v>
      </c>
      <c r="F127" s="6" t="n">
        <v>0</v>
      </c>
      <c r="G127" s="6" t="n">
        <v>0</v>
      </c>
      <c r="H127" s="6" t="n">
        <v>0</v>
      </c>
      <c r="I127" s="6">
        <f>C127+F127</f>
        <v/>
      </c>
      <c r="J127" s="6">
        <f>D127+G127</f>
        <v/>
      </c>
      <c r="K127" s="6">
        <f>E127+H127</f>
        <v/>
      </c>
      <c r="L127" s="6" t="n">
        <v>2217330</v>
      </c>
      <c r="M127" s="6" t="n">
        <v>0</v>
      </c>
      <c r="N127" s="6" t="n">
        <v>2217330</v>
      </c>
      <c r="O127" s="6" t="n">
        <v>0</v>
      </c>
      <c r="P127" s="6" t="n">
        <v>0</v>
      </c>
      <c r="Q127" s="6" t="n">
        <v>0</v>
      </c>
      <c r="R127" s="6">
        <f>L127+O127</f>
        <v/>
      </c>
      <c r="S127" s="6">
        <f>M127+P127</f>
        <v/>
      </c>
      <c r="T127" s="6">
        <f>N127+Q127</f>
        <v/>
      </c>
    </row>
    <row r="128" hidden="1">
      <c r="A128" s="7" t="inlineStr">
        <is>
          <t>1109606</t>
        </is>
      </c>
      <c r="B128" s="7" t="inlineStr">
        <is>
          <t>Mobiliario Sala de ventas</t>
        </is>
      </c>
      <c r="C128" s="7" t="n">
        <v>0</v>
      </c>
      <c r="D128" s="7" t="n">
        <v>0</v>
      </c>
      <c r="E128" s="7" t="n">
        <v>0</v>
      </c>
      <c r="F128" s="7" t="n">
        <v>0</v>
      </c>
      <c r="G128" s="7" t="n">
        <v>0</v>
      </c>
      <c r="H128" s="7" t="n">
        <v>0</v>
      </c>
      <c r="I128" s="7">
        <f>C128+F128</f>
        <v/>
      </c>
      <c r="J128" s="7">
        <f>D128+G128</f>
        <v/>
      </c>
      <c r="K128" s="7">
        <f>E128+H128</f>
        <v/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>
        <f>L128+O128</f>
        <v/>
      </c>
      <c r="S128" s="7">
        <f>M128+P128</f>
        <v/>
      </c>
      <c r="T128" s="7">
        <f>N128+Q128</f>
        <v/>
      </c>
    </row>
    <row r="129" hidden="1">
      <c r="A129" s="7" t="inlineStr">
        <is>
          <t>1109609</t>
        </is>
      </c>
      <c r="B129" s="7" t="inlineStr">
        <is>
          <t>Gastos generales sala de ventas</t>
        </is>
      </c>
      <c r="C129" s="7" t="n">
        <v>0</v>
      </c>
      <c r="D129" s="7" t="n">
        <v>0</v>
      </c>
      <c r="E129" s="7" t="n">
        <v>0</v>
      </c>
      <c r="F129" s="7" t="n">
        <v>0</v>
      </c>
      <c r="G129" s="7" t="n">
        <v>0</v>
      </c>
      <c r="H129" s="7" t="n">
        <v>0</v>
      </c>
      <c r="I129" s="7">
        <f>C129+F129</f>
        <v/>
      </c>
      <c r="J129" s="7">
        <f>D129+G129</f>
        <v/>
      </c>
      <c r="K129" s="7">
        <f>E129+H129</f>
        <v/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>
        <f>L129+O129</f>
        <v/>
      </c>
      <c r="S129" s="7">
        <f>M129+P129</f>
        <v/>
      </c>
      <c r="T129" s="7">
        <f>N129+Q129</f>
        <v/>
      </c>
    </row>
    <row r="130">
      <c r="A130" s="4" t="inlineStr">
        <is>
          <t>COMERCIALIZACION</t>
        </is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</row>
    <row r="131">
      <c r="A131" s="6" t="inlineStr">
        <is>
          <t>121031</t>
        </is>
      </c>
      <c r="B131" s="6" t="inlineStr">
        <is>
          <t>Costo Corretaje</t>
        </is>
      </c>
      <c r="C131" s="6" t="n">
        <v>2389.18</v>
      </c>
      <c r="D131" s="6" t="n">
        <v>0</v>
      </c>
      <c r="E131" s="6" t="n">
        <v>2389.18</v>
      </c>
      <c r="F131" s="6" t="n">
        <v>0</v>
      </c>
      <c r="G131" s="6" t="n">
        <v>0</v>
      </c>
      <c r="H131" s="6" t="n">
        <v>0</v>
      </c>
      <c r="I131" s="6">
        <f>C131+F131</f>
        <v/>
      </c>
      <c r="J131" s="6">
        <f>D131+G131</f>
        <v/>
      </c>
      <c r="K131" s="6">
        <f>E131+H131</f>
        <v/>
      </c>
      <c r="L131" s="6" t="n">
        <v>95292310</v>
      </c>
      <c r="M131" s="6" t="n">
        <v>0</v>
      </c>
      <c r="N131" s="6" t="n">
        <v>95292310</v>
      </c>
      <c r="O131" s="6" t="n">
        <v>0</v>
      </c>
      <c r="P131" s="6" t="n">
        <v>0</v>
      </c>
      <c r="Q131" s="6" t="n">
        <v>0</v>
      </c>
      <c r="R131" s="6">
        <f>L131+O131</f>
        <v/>
      </c>
      <c r="S131" s="6">
        <f>M131+P131</f>
        <v/>
      </c>
      <c r="T131" s="6">
        <f>N131+Q131</f>
        <v/>
      </c>
    </row>
    <row r="132">
      <c r="A132" s="4" t="inlineStr">
        <is>
          <t>ASESORIA PROYECTO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</row>
    <row r="133">
      <c r="A133" s="6" t="inlineStr">
        <is>
          <t>121041</t>
        </is>
      </c>
      <c r="B133" s="6" t="inlineStr">
        <is>
          <t>Asesoria Proyecto</t>
        </is>
      </c>
      <c r="C133" s="6" t="n">
        <v>16360</v>
      </c>
      <c r="D133" s="6" t="n">
        <v>0</v>
      </c>
      <c r="E133" s="6" t="n">
        <v>16360</v>
      </c>
      <c r="F133" s="6" t="n">
        <v>0</v>
      </c>
      <c r="G133" s="6" t="n">
        <v>0</v>
      </c>
      <c r="H133" s="6" t="n">
        <v>0</v>
      </c>
      <c r="I133" s="6">
        <f>C133+F133</f>
        <v/>
      </c>
      <c r="J133" s="6">
        <f>D133+G133</f>
        <v/>
      </c>
      <c r="K133" s="6">
        <f>E133+H133</f>
        <v/>
      </c>
      <c r="L133" s="6" t="n">
        <v>651510665</v>
      </c>
      <c r="M133" s="6" t="n">
        <v>0</v>
      </c>
      <c r="N133" s="6" t="n">
        <v>651510665</v>
      </c>
      <c r="O133" s="6" t="n">
        <v>0</v>
      </c>
      <c r="P133" s="6" t="n">
        <v>0</v>
      </c>
      <c r="Q133" s="6" t="n">
        <v>0</v>
      </c>
      <c r="R133" s="6">
        <f>L133+O133</f>
        <v/>
      </c>
      <c r="S133" s="6">
        <f>M133+P133</f>
        <v/>
      </c>
      <c r="T133" s="6">
        <f>N133+Q133</f>
        <v/>
      </c>
    </row>
    <row r="134">
      <c r="A134" s="4" t="inlineStr">
        <is>
          <t>IMPREVISTOS</t>
        </is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</row>
    <row r="135" hidden="1">
      <c r="A135" s="7" t="inlineStr">
        <is>
          <t>121051</t>
        </is>
      </c>
      <c r="B135" s="7" t="inlineStr">
        <is>
          <t>Imprevistos</t>
        </is>
      </c>
      <c r="C135" s="7" t="n">
        <v>0</v>
      </c>
      <c r="D135" s="7" t="n">
        <v>0</v>
      </c>
      <c r="E135" s="7" t="n">
        <v>0</v>
      </c>
      <c r="F135" s="7" t="n">
        <v>0</v>
      </c>
      <c r="G135" s="7" t="n">
        <v>0</v>
      </c>
      <c r="H135" s="7" t="n">
        <v>0</v>
      </c>
      <c r="I135" s="7">
        <f>C135+F135</f>
        <v/>
      </c>
      <c r="J135" s="7">
        <f>D135+G135</f>
        <v/>
      </c>
      <c r="K135" s="7">
        <f>E135+H135</f>
        <v/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>
        <f>L135+O135</f>
        <v/>
      </c>
      <c r="S135" s="7">
        <f>M135+P135</f>
        <v/>
      </c>
      <c r="T135" s="7">
        <f>N135+Q135</f>
        <v/>
      </c>
    </row>
    <row r="136" hidden="1">
      <c r="A136" s="7" t="inlineStr">
        <is>
          <t>1109902</t>
        </is>
      </c>
      <c r="B136" s="7" t="inlineStr">
        <is>
          <t>Post-Venta</t>
        </is>
      </c>
      <c r="C136" s="7" t="n">
        <v>0</v>
      </c>
      <c r="D136" s="7" t="n">
        <v>0</v>
      </c>
      <c r="E136" s="7" t="n">
        <v>0</v>
      </c>
      <c r="F136" s="7" t="n">
        <v>0</v>
      </c>
      <c r="G136" s="7" t="n">
        <v>0</v>
      </c>
      <c r="H136" s="7" t="n">
        <v>0</v>
      </c>
      <c r="I136" s="7">
        <f>C136+F136</f>
        <v/>
      </c>
      <c r="J136" s="7">
        <f>D136+G136</f>
        <v/>
      </c>
      <c r="K136" s="7">
        <f>E136+H136</f>
        <v/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>
        <f>L136+O136</f>
        <v/>
      </c>
      <c r="S136" s="7">
        <f>M136+P136</f>
        <v/>
      </c>
      <c r="T136" s="7">
        <f>N136+Q136</f>
        <v/>
      </c>
    </row>
    <row r="137" hidden="1">
      <c r="A137" s="7" t="inlineStr">
        <is>
          <t>1109903</t>
        </is>
      </c>
      <c r="B137" s="7" t="inlineStr">
        <is>
          <t>Juicios y Acuerdos Vecinos</t>
        </is>
      </c>
      <c r="C137" s="7" t="n">
        <v>0</v>
      </c>
      <c r="D137" s="7" t="n">
        <v>0</v>
      </c>
      <c r="E137" s="7" t="n">
        <v>0</v>
      </c>
      <c r="F137" s="7" t="n">
        <v>0</v>
      </c>
      <c r="G137" s="7" t="n">
        <v>0</v>
      </c>
      <c r="H137" s="7" t="n">
        <v>0</v>
      </c>
      <c r="I137" s="7">
        <f>C137+F137</f>
        <v/>
      </c>
      <c r="J137" s="7">
        <f>D137+G137</f>
        <v/>
      </c>
      <c r="K137" s="7">
        <f>E137+H137</f>
        <v/>
      </c>
      <c r="L137" s="7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>
        <f>L137+O137</f>
        <v/>
      </c>
      <c r="S137" s="7">
        <f>M137+P137</f>
        <v/>
      </c>
      <c r="T137" s="7">
        <f>N137+Q137</f>
        <v/>
      </c>
    </row>
    <row r="138">
      <c r="A138" s="4" t="inlineStr">
        <is>
          <t>GASTOS FINANCIEROS</t>
        </is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</row>
    <row r="139">
      <c r="A139" s="6" t="inlineStr">
        <is>
          <t>121061</t>
        </is>
      </c>
      <c r="B139" s="6" t="inlineStr">
        <is>
          <t>Gastos Bancarios</t>
        </is>
      </c>
      <c r="C139" s="6" t="n">
        <v>166.54</v>
      </c>
      <c r="D139" s="6" t="n">
        <v>0</v>
      </c>
      <c r="E139" s="6" t="n">
        <v>166.54</v>
      </c>
      <c r="F139" s="6" t="n">
        <v>0</v>
      </c>
      <c r="G139" s="6" t="n">
        <v>0</v>
      </c>
      <c r="H139" s="6" t="n">
        <v>0</v>
      </c>
      <c r="I139" s="6">
        <f>C139+F139</f>
        <v/>
      </c>
      <c r="J139" s="6">
        <f>D139+G139</f>
        <v/>
      </c>
      <c r="K139" s="6">
        <f>E139+H139</f>
        <v/>
      </c>
      <c r="L139" s="6" t="n">
        <v>6618144</v>
      </c>
      <c r="M139" s="6" t="n">
        <v>0</v>
      </c>
      <c r="N139" s="6" t="n">
        <v>6618144</v>
      </c>
      <c r="O139" s="6" t="n">
        <v>0</v>
      </c>
      <c r="P139" s="6" t="n">
        <v>0</v>
      </c>
      <c r="Q139" s="6" t="n">
        <v>0</v>
      </c>
      <c r="R139" s="6">
        <f>L139+O139</f>
        <v/>
      </c>
      <c r="S139" s="6">
        <f>M139+P139</f>
        <v/>
      </c>
      <c r="T139" s="6">
        <f>N139+Q139</f>
        <v/>
      </c>
    </row>
    <row r="140">
      <c r="A140" s="6" t="inlineStr">
        <is>
          <t>121062</t>
        </is>
      </c>
      <c r="B140" s="6" t="inlineStr">
        <is>
          <t>Impto Timbre Prestamos</t>
        </is>
      </c>
      <c r="C140" s="6" t="n">
        <v>4059.879999999999</v>
      </c>
      <c r="D140" s="6" t="n">
        <v>0</v>
      </c>
      <c r="E140" s="6" t="n">
        <v>4059.879999999999</v>
      </c>
      <c r="F140" s="6" t="n">
        <v>0</v>
      </c>
      <c r="G140" s="6" t="n">
        <v>0</v>
      </c>
      <c r="H140" s="6" t="n">
        <v>0</v>
      </c>
      <c r="I140" s="6">
        <f>C140+F140</f>
        <v/>
      </c>
      <c r="J140" s="6">
        <f>D140+G140</f>
        <v/>
      </c>
      <c r="K140" s="6">
        <f>E140+H140</f>
        <v/>
      </c>
      <c r="L140" s="6" t="n">
        <v>161416844</v>
      </c>
      <c r="M140" s="6" t="n">
        <v>0</v>
      </c>
      <c r="N140" s="6" t="n">
        <v>161416844</v>
      </c>
      <c r="O140" s="6" t="n">
        <v>0</v>
      </c>
      <c r="P140" s="6" t="n">
        <v>0</v>
      </c>
      <c r="Q140" s="6" t="n">
        <v>0</v>
      </c>
      <c r="R140" s="6">
        <f>L140+O140</f>
        <v/>
      </c>
      <c r="S140" s="6">
        <f>M140+P140</f>
        <v/>
      </c>
      <c r="T140" s="6">
        <f>N140+Q140</f>
        <v/>
      </c>
    </row>
    <row r="141">
      <c r="A141" s="6" t="inlineStr">
        <is>
          <t>121063</t>
        </is>
      </c>
      <c r="B141" s="6" t="inlineStr">
        <is>
          <t>Otros Gastos Bancarios</t>
        </is>
      </c>
      <c r="C141" s="6" t="n">
        <v>496.5099999999999</v>
      </c>
      <c r="D141" s="6" t="n">
        <v>0</v>
      </c>
      <c r="E141" s="6" t="n">
        <v>496.5099999999999</v>
      </c>
      <c r="F141" s="6" t="n">
        <v>0</v>
      </c>
      <c r="G141" s="6" t="n">
        <v>0</v>
      </c>
      <c r="H141" s="6" t="n">
        <v>0</v>
      </c>
      <c r="I141" s="6">
        <f>C141+F141</f>
        <v/>
      </c>
      <c r="J141" s="6">
        <f>D141+G141</f>
        <v/>
      </c>
      <c r="K141" s="6">
        <f>E141+H141</f>
        <v/>
      </c>
      <c r="L141" s="6" t="n">
        <v>19763791</v>
      </c>
      <c r="M141" s="6" t="n">
        <v>0</v>
      </c>
      <c r="N141" s="6" t="n">
        <v>19763791</v>
      </c>
      <c r="O141" s="6" t="n">
        <v>0</v>
      </c>
      <c r="P141" s="6" t="n">
        <v>0</v>
      </c>
      <c r="Q141" s="6" t="n">
        <v>0</v>
      </c>
      <c r="R141" s="6">
        <f>L141+O141</f>
        <v/>
      </c>
      <c r="S141" s="6">
        <f>M141+P141</f>
        <v/>
      </c>
      <c r="T141" s="6">
        <f>N141+Q141</f>
        <v/>
      </c>
    </row>
    <row r="142">
      <c r="A142" s="6" t="inlineStr">
        <is>
          <t>121064</t>
        </is>
      </c>
      <c r="B142" s="6" t="inlineStr">
        <is>
          <t>Prima Seguro Venta en Verde</t>
        </is>
      </c>
      <c r="C142" s="6" t="n">
        <v>439.71</v>
      </c>
      <c r="D142" s="6" t="n">
        <v>0</v>
      </c>
      <c r="E142" s="6" t="n">
        <v>439.71</v>
      </c>
      <c r="F142" s="6" t="n">
        <v>0</v>
      </c>
      <c r="G142" s="6" t="n">
        <v>0</v>
      </c>
      <c r="H142" s="6" t="n">
        <v>0</v>
      </c>
      <c r="I142" s="6">
        <f>C142+F142</f>
        <v/>
      </c>
      <c r="J142" s="6">
        <f>D142+G142</f>
        <v/>
      </c>
      <c r="K142" s="6">
        <f>E142+H142</f>
        <v/>
      </c>
      <c r="L142" s="6" t="n">
        <v>17604147</v>
      </c>
      <c r="M142" s="6" t="n">
        <v>0</v>
      </c>
      <c r="N142" s="6" t="n">
        <v>17604147</v>
      </c>
      <c r="O142" s="6" t="n">
        <v>0</v>
      </c>
      <c r="P142" s="6" t="n">
        <v>0</v>
      </c>
      <c r="Q142" s="6" t="n">
        <v>0</v>
      </c>
      <c r="R142" s="6">
        <f>L142+O142</f>
        <v/>
      </c>
      <c r="S142" s="6">
        <f>M142+P142</f>
        <v/>
      </c>
      <c r="T142" s="6">
        <f>N142+Q142</f>
        <v/>
      </c>
    </row>
    <row r="143">
      <c r="A143" s="6" t="inlineStr">
        <is>
          <t>121065</t>
        </is>
      </c>
      <c r="B143" s="6" t="inlineStr">
        <is>
          <t>Intereses Pagados</t>
        </is>
      </c>
      <c r="C143" s="6" t="n">
        <v>13192.8</v>
      </c>
      <c r="D143" s="6" t="n">
        <v>0</v>
      </c>
      <c r="E143" s="6" t="n">
        <v>13192.8</v>
      </c>
      <c r="F143" s="6" t="n">
        <v>0</v>
      </c>
      <c r="G143" s="6" t="n">
        <v>0</v>
      </c>
      <c r="H143" s="6" t="n">
        <v>0</v>
      </c>
      <c r="I143" s="6">
        <f>C143+F143</f>
        <v/>
      </c>
      <c r="J143" s="6">
        <f>D143+G143</f>
        <v/>
      </c>
      <c r="K143" s="6">
        <f>E143+H143</f>
        <v/>
      </c>
      <c r="L143" s="6" t="n">
        <v>524235433</v>
      </c>
      <c r="M143" s="6" t="n">
        <v>0</v>
      </c>
      <c r="N143" s="6" t="n">
        <v>524235433</v>
      </c>
      <c r="O143" s="6" t="n">
        <v>0</v>
      </c>
      <c r="P143" s="6" t="n">
        <v>0</v>
      </c>
      <c r="Q143" s="6" t="n">
        <v>0</v>
      </c>
      <c r="R143" s="6">
        <f>L143+O143</f>
        <v/>
      </c>
      <c r="S143" s="6">
        <f>M143+P143</f>
        <v/>
      </c>
      <c r="T143" s="6">
        <f>N143+Q143</f>
        <v/>
      </c>
    </row>
    <row r="144">
      <c r="A144" s="6" t="inlineStr">
        <is>
          <t>121067</t>
        </is>
      </c>
      <c r="B144" s="6" t="inlineStr">
        <is>
          <t>Intereses Credito Terreno</t>
        </is>
      </c>
      <c r="C144" s="6" t="n">
        <v>40856.04</v>
      </c>
      <c r="D144" s="6" t="n">
        <v>0</v>
      </c>
      <c r="E144" s="6" t="n">
        <v>40856.04</v>
      </c>
      <c r="F144" s="6" t="n">
        <v>0</v>
      </c>
      <c r="G144" s="6" t="n">
        <v>0</v>
      </c>
      <c r="H144" s="6" t="n">
        <v>0</v>
      </c>
      <c r="I144" s="6">
        <f>C144+F144</f>
        <v/>
      </c>
      <c r="J144" s="6">
        <f>D144+G144</f>
        <v/>
      </c>
      <c r="K144" s="6">
        <f>E144+H144</f>
        <v/>
      </c>
      <c r="L144" s="6" t="n">
        <v>1623127123</v>
      </c>
      <c r="M144" s="6" t="n">
        <v>0</v>
      </c>
      <c r="N144" s="6" t="n">
        <v>1623127123</v>
      </c>
      <c r="O144" s="6" t="n">
        <v>0</v>
      </c>
      <c r="P144" s="6" t="n">
        <v>0</v>
      </c>
      <c r="Q144" s="6" t="n">
        <v>0</v>
      </c>
      <c r="R144" s="6">
        <f>L144+O144</f>
        <v/>
      </c>
      <c r="S144" s="6">
        <f>M144+P144</f>
        <v/>
      </c>
      <c r="T144" s="6">
        <f>N144+Q144</f>
        <v/>
      </c>
    </row>
    <row r="145">
      <c r="A145" s="6" t="inlineStr">
        <is>
          <t>121068</t>
        </is>
      </c>
      <c r="B145" s="6" t="inlineStr">
        <is>
          <t>Intereses Credito Construccion</t>
        </is>
      </c>
      <c r="C145" s="6" t="n">
        <v>3264.17</v>
      </c>
      <c r="D145" s="6" t="n">
        <v>0</v>
      </c>
      <c r="E145" s="6" t="n">
        <v>3264.17</v>
      </c>
      <c r="F145" s="6" t="n">
        <v>0</v>
      </c>
      <c r="G145" s="6" t="n">
        <v>0</v>
      </c>
      <c r="H145" s="6" t="n">
        <v>0</v>
      </c>
      <c r="I145" s="6">
        <f>C145+F145</f>
        <v/>
      </c>
      <c r="J145" s="6">
        <f>D145+G145</f>
        <v/>
      </c>
      <c r="K145" s="6">
        <f>E145+H145</f>
        <v/>
      </c>
      <c r="L145" s="6" t="n">
        <v>131463326</v>
      </c>
      <c r="M145" s="6" t="n">
        <v>0</v>
      </c>
      <c r="N145" s="6" t="n">
        <v>131463326</v>
      </c>
      <c r="O145" s="6" t="n">
        <v>0</v>
      </c>
      <c r="P145" s="6" t="n">
        <v>0</v>
      </c>
      <c r="Q145" s="6" t="n">
        <v>0</v>
      </c>
      <c r="R145" s="6">
        <f>L145+O145</f>
        <v/>
      </c>
      <c r="S145" s="6">
        <f>M145+P145</f>
        <v/>
      </c>
      <c r="T145" s="6">
        <f>N145+Q145</f>
        <v/>
      </c>
    </row>
    <row r="146" hidden="1">
      <c r="A146" s="7" t="inlineStr">
        <is>
          <t>121069</t>
        </is>
      </c>
      <c r="B146" s="7" t="inlineStr">
        <is>
          <t>Intereses Linea Credito Cta. Cte.</t>
        </is>
      </c>
      <c r="C146" s="7" t="n">
        <v>0</v>
      </c>
      <c r="D146" s="7" t="n">
        <v>0</v>
      </c>
      <c r="E146" s="7" t="n">
        <v>0</v>
      </c>
      <c r="F146" s="7" t="n">
        <v>0</v>
      </c>
      <c r="G146" s="7" t="n">
        <v>0</v>
      </c>
      <c r="H146" s="7" t="n">
        <v>0</v>
      </c>
      <c r="I146" s="7">
        <f>C146+F146</f>
        <v/>
      </c>
      <c r="J146" s="7">
        <f>D146+G146</f>
        <v/>
      </c>
      <c r="K146" s="7">
        <f>E146+H146</f>
        <v/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>
        <f>L146+O146</f>
        <v/>
      </c>
      <c r="S146" s="7">
        <f>M146+P146</f>
        <v/>
      </c>
      <c r="T146" s="7">
        <f>N146+Q146</f>
        <v/>
      </c>
    </row>
    <row r="147">
      <c r="A147" s="4" t="inlineStr">
        <is>
          <t>GASTOS GENERALES</t>
        </is>
      </c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</row>
    <row r="148">
      <c r="A148" s="6" t="inlineStr">
        <is>
          <t>121071</t>
        </is>
      </c>
      <c r="B148" s="6" t="inlineStr">
        <is>
          <t>Gastos Generales</t>
        </is>
      </c>
      <c r="C148" s="6" t="n">
        <v>293.8400000000001</v>
      </c>
      <c r="D148" s="6" t="n">
        <v>0</v>
      </c>
      <c r="E148" s="6" t="n">
        <v>293.8400000000001</v>
      </c>
      <c r="F148" s="6" t="n">
        <v>0</v>
      </c>
      <c r="G148" s="6" t="n">
        <v>0</v>
      </c>
      <c r="H148" s="6" t="n">
        <v>0</v>
      </c>
      <c r="I148" s="6">
        <f>C148+F148</f>
        <v/>
      </c>
      <c r="J148" s="6">
        <f>D148+G148</f>
        <v/>
      </c>
      <c r="K148" s="6">
        <f>E148+H148</f>
        <v/>
      </c>
      <c r="L148" s="6" t="n">
        <v>11722174</v>
      </c>
      <c r="M148" s="6" t="n">
        <v>0</v>
      </c>
      <c r="N148" s="6" t="n">
        <v>11722174</v>
      </c>
      <c r="O148" s="6" t="n">
        <v>0</v>
      </c>
      <c r="P148" s="6" t="n">
        <v>0</v>
      </c>
      <c r="Q148" s="6" t="n">
        <v>0</v>
      </c>
      <c r="R148" s="6">
        <f>L148+O148</f>
        <v/>
      </c>
      <c r="S148" s="6">
        <f>M148+P148</f>
        <v/>
      </c>
      <c r="T148" s="6">
        <f>N148+Q148</f>
        <v/>
      </c>
    </row>
    <row r="149">
      <c r="A149" s="6" t="inlineStr">
        <is>
          <t>121072</t>
        </is>
      </c>
      <c r="B149" s="6" t="inlineStr">
        <is>
          <t>Gtos Generales Legales Sociedad</t>
        </is>
      </c>
      <c r="C149" s="6" t="n">
        <v>86.74000000000001</v>
      </c>
      <c r="D149" s="6" t="n">
        <v>0</v>
      </c>
      <c r="E149" s="6" t="n">
        <v>86.74000000000001</v>
      </c>
      <c r="F149" s="6" t="n">
        <v>0</v>
      </c>
      <c r="G149" s="6" t="n">
        <v>0</v>
      </c>
      <c r="H149" s="6" t="n">
        <v>0</v>
      </c>
      <c r="I149" s="6">
        <f>C149+F149</f>
        <v/>
      </c>
      <c r="J149" s="6">
        <f>D149+G149</f>
        <v/>
      </c>
      <c r="K149" s="6">
        <f>E149+H149</f>
        <v/>
      </c>
      <c r="L149" s="6" t="n">
        <v>3455499</v>
      </c>
      <c r="M149" s="6" t="n">
        <v>0</v>
      </c>
      <c r="N149" s="6" t="n">
        <v>3455499</v>
      </c>
      <c r="O149" s="6" t="n">
        <v>0</v>
      </c>
      <c r="P149" s="6" t="n">
        <v>0</v>
      </c>
      <c r="Q149" s="6" t="n">
        <v>0</v>
      </c>
      <c r="R149" s="6">
        <f>L149+O149</f>
        <v/>
      </c>
      <c r="S149" s="6">
        <f>M149+P149</f>
        <v/>
      </c>
      <c r="T149" s="6">
        <f>N149+Q149</f>
        <v/>
      </c>
    </row>
    <row r="150">
      <c r="A150" s="6" t="inlineStr">
        <is>
          <t>121073</t>
        </is>
      </c>
      <c r="B150" s="6" t="inlineStr">
        <is>
          <t>Asesoria Contable y Tributaria</t>
        </is>
      </c>
      <c r="C150" s="6" t="n">
        <v>806</v>
      </c>
      <c r="D150" s="6" t="n">
        <v>0</v>
      </c>
      <c r="E150" s="6" t="n">
        <v>806</v>
      </c>
      <c r="F150" s="6" t="n">
        <v>0</v>
      </c>
      <c r="G150" s="6" t="n">
        <v>0</v>
      </c>
      <c r="H150" s="6" t="n">
        <v>0</v>
      </c>
      <c r="I150" s="6">
        <f>C150+F150</f>
        <v/>
      </c>
      <c r="J150" s="6">
        <f>D150+G150</f>
        <v/>
      </c>
      <c r="K150" s="6">
        <f>E150+H150</f>
        <v/>
      </c>
      <c r="L150" s="6" t="n">
        <v>32109029</v>
      </c>
      <c r="M150" s="6" t="n">
        <v>0</v>
      </c>
      <c r="N150" s="6" t="n">
        <v>32109029</v>
      </c>
      <c r="O150" s="6" t="n">
        <v>0</v>
      </c>
      <c r="P150" s="6" t="n">
        <v>0</v>
      </c>
      <c r="Q150" s="6" t="n">
        <v>0</v>
      </c>
      <c r="R150" s="6">
        <f>L150+O150</f>
        <v/>
      </c>
      <c r="S150" s="6">
        <f>M150+P150</f>
        <v/>
      </c>
      <c r="T150" s="6">
        <f>N150+Q150</f>
        <v/>
      </c>
    </row>
    <row r="151">
      <c r="A151" s="4" t="inlineStr">
        <is>
          <t>TRASPASOS</t>
        </is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</row>
    <row r="152" hidden="1">
      <c r="A152" s="7" t="inlineStr">
        <is>
          <t>1109941</t>
        </is>
      </c>
      <c r="B152" s="7" t="inlineStr">
        <is>
          <t>Traspaso a Costo de Construccion</t>
        </is>
      </c>
      <c r="C152" s="7" t="n">
        <v>0</v>
      </c>
      <c r="D152" s="7" t="n">
        <v>0</v>
      </c>
      <c r="E152" s="7" t="n">
        <v>0</v>
      </c>
      <c r="F152" s="7" t="n">
        <v>0</v>
      </c>
      <c r="G152" s="7" t="n">
        <v>0</v>
      </c>
      <c r="H152" s="7" t="n">
        <v>0</v>
      </c>
      <c r="I152" s="7">
        <f>C152+F152</f>
        <v/>
      </c>
      <c r="J152" s="7">
        <f>D152+G152</f>
        <v/>
      </c>
      <c r="K152" s="7">
        <f>E152+H152</f>
        <v/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>
        <f>L152+O152</f>
        <v/>
      </c>
      <c r="S152" s="7">
        <f>M152+P152</f>
        <v/>
      </c>
      <c r="T152" s="7">
        <f>N152+Q152</f>
        <v/>
      </c>
    </row>
    <row r="153" hidden="1">
      <c r="A153" s="7" t="inlineStr">
        <is>
          <t>121092</t>
        </is>
      </c>
      <c r="B153" s="7" t="inlineStr">
        <is>
          <t>Traspaso a Gastos</t>
        </is>
      </c>
      <c r="C153" s="7" t="n">
        <v>0</v>
      </c>
      <c r="D153" s="7" t="n">
        <v>0</v>
      </c>
      <c r="E153" s="7" t="n">
        <v>0</v>
      </c>
      <c r="F153" s="7" t="n">
        <v>0</v>
      </c>
      <c r="G153" s="7" t="n">
        <v>0</v>
      </c>
      <c r="H153" s="7" t="n">
        <v>0</v>
      </c>
      <c r="I153" s="7">
        <f>C153+F153</f>
        <v/>
      </c>
      <c r="J153" s="7">
        <f>D153+G153</f>
        <v/>
      </c>
      <c r="K153" s="7">
        <f>E153+H153</f>
        <v/>
      </c>
      <c r="L153" s="7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>
        <f>L153+O153</f>
        <v/>
      </c>
      <c r="S153" s="7">
        <f>M153+P153</f>
        <v/>
      </c>
      <c r="T153" s="7">
        <f>N153+Q153</f>
        <v/>
      </c>
    </row>
    <row r="154">
      <c r="A154" s="4" t="inlineStr">
        <is>
          <t>GASTOS DE VENTAS</t>
        </is>
      </c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</row>
    <row r="155" hidden="1">
      <c r="A155" s="7" t="inlineStr">
        <is>
          <t>1109951</t>
        </is>
      </c>
      <c r="B155" s="7" t="inlineStr">
        <is>
          <t>Gastos Comunes y Mantención</t>
        </is>
      </c>
      <c r="C155" s="7" t="n">
        <v>0</v>
      </c>
      <c r="D155" s="7" t="n">
        <v>0</v>
      </c>
      <c r="E155" s="7" t="n">
        <v>0</v>
      </c>
      <c r="F155" s="7" t="n">
        <v>0</v>
      </c>
      <c r="G155" s="7" t="n">
        <v>0</v>
      </c>
      <c r="H155" s="7" t="n">
        <v>0</v>
      </c>
      <c r="I155" s="7">
        <f>C155+F155</f>
        <v/>
      </c>
      <c r="J155" s="7">
        <f>D155+G155</f>
        <v/>
      </c>
      <c r="K155" s="7">
        <f>E155+H155</f>
        <v/>
      </c>
      <c r="L155" s="7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>
        <f>L155+O155</f>
        <v/>
      </c>
      <c r="S155" s="7">
        <f>M155+P155</f>
        <v/>
      </c>
      <c r="T155" s="7">
        <f>N155+Q155</f>
        <v/>
      </c>
    </row>
    <row r="156" hidden="1">
      <c r="A156" s="7" t="inlineStr">
        <is>
          <t>1109952</t>
        </is>
      </c>
      <c r="B156" s="7" t="inlineStr">
        <is>
          <t>Seguros S/Inmuebles x Vender</t>
        </is>
      </c>
      <c r="C156" s="7" t="n">
        <v>0</v>
      </c>
      <c r="D156" s="7" t="n">
        <v>0</v>
      </c>
      <c r="E156" s="7" t="n">
        <v>0</v>
      </c>
      <c r="F156" s="7" t="n">
        <v>0</v>
      </c>
      <c r="G156" s="7" t="n">
        <v>0</v>
      </c>
      <c r="H156" s="7" t="n">
        <v>0</v>
      </c>
      <c r="I156" s="7">
        <f>C156+F156</f>
        <v/>
      </c>
      <c r="J156" s="7">
        <f>D156+G156</f>
        <v/>
      </c>
      <c r="K156" s="7">
        <f>E156+H156</f>
        <v/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>
        <f>L156+O156</f>
        <v/>
      </c>
      <c r="S156" s="7">
        <f>M156+P156</f>
        <v/>
      </c>
      <c r="T156" s="7">
        <f>N156+Q156</f>
        <v/>
      </c>
    </row>
    <row r="157">
      <c r="A157" s="4" t="inlineStr">
        <is>
          <t>INTERESES DIFERIDOS</t>
        </is>
      </c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</row>
    <row r="158" hidden="1">
      <c r="A158" s="7" t="inlineStr">
        <is>
          <t>121301</t>
        </is>
      </c>
      <c r="B158" s="7" t="inlineStr">
        <is>
          <t>Impuestos Diferidos</t>
        </is>
      </c>
      <c r="C158" s="7" t="n">
        <v>0</v>
      </c>
      <c r="D158" s="7" t="n">
        <v>0</v>
      </c>
      <c r="E158" s="7" t="n">
        <v>0</v>
      </c>
      <c r="F158" s="7" t="n">
        <v>0</v>
      </c>
      <c r="G158" s="7" t="n">
        <v>0</v>
      </c>
      <c r="H158" s="7" t="n">
        <v>0</v>
      </c>
      <c r="I158" s="7">
        <f>C158+F158</f>
        <v/>
      </c>
      <c r="J158" s="7">
        <f>D158+G158</f>
        <v/>
      </c>
      <c r="K158" s="7">
        <f>E158+H158</f>
        <v/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>
        <f>L158+O158</f>
        <v/>
      </c>
      <c r="S158" s="7">
        <f>M158+P158</f>
        <v/>
      </c>
      <c r="T158" s="7">
        <f>N158+Q158</f>
        <v/>
      </c>
    </row>
    <row r="159" ht="18" customHeight="1">
      <c r="A159" s="1" t="inlineStr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</row>
    <row r="160">
      <c r="A160" s="4" t="inlineStr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</row>
    <row r="161" ht="18" customHeight="1">
      <c r="A161" s="1" t="inlineStr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</row>
    <row r="162">
      <c r="A162" s="4" t="inlineStr">
        <is>
          <t>LINEAS DE CREDITO</t>
        </is>
      </c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</row>
    <row r="163" hidden="1">
      <c r="A163" s="7" t="inlineStr">
        <is>
          <t>210111</t>
        </is>
      </c>
      <c r="B163" s="7" t="inlineStr">
        <is>
          <t>Linea Credito Bco Santander</t>
        </is>
      </c>
      <c r="C163" s="7" t="n">
        <v>0</v>
      </c>
      <c r="D163" s="7" t="n">
        <v>0</v>
      </c>
      <c r="E163" s="7" t="n">
        <v>0</v>
      </c>
      <c r="F163" s="7" t="n">
        <v>0</v>
      </c>
      <c r="G163" s="7" t="n">
        <v>0</v>
      </c>
      <c r="H163" s="7" t="n">
        <v>0</v>
      </c>
      <c r="I163" s="7">
        <f>C163+F163</f>
        <v/>
      </c>
      <c r="J163" s="7">
        <f>D163+G163</f>
        <v/>
      </c>
      <c r="K163" s="7">
        <f>E163+H163</f>
        <v/>
      </c>
      <c r="L163" s="7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>
        <f>L163+O163</f>
        <v/>
      </c>
      <c r="S163" s="7">
        <f>M163+P163</f>
        <v/>
      </c>
      <c r="T163" s="7">
        <f>N163+Q163</f>
        <v/>
      </c>
    </row>
    <row r="164">
      <c r="A164" s="4" t="inlineStr">
        <is>
          <t>OBLIG. CON BCOS E INST FINANCIERAS</t>
        </is>
      </c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</row>
    <row r="165" hidden="1">
      <c r="A165" s="7" t="inlineStr">
        <is>
          <t>210121</t>
        </is>
      </c>
      <c r="B165" s="7" t="inlineStr">
        <is>
          <t>Ptmos en MN NR</t>
        </is>
      </c>
      <c r="C165" s="7" t="n">
        <v>0</v>
      </c>
      <c r="D165" s="7" t="n">
        <v>0</v>
      </c>
      <c r="E165" s="7" t="n">
        <v>0</v>
      </c>
      <c r="F165" s="7" t="n">
        <v>0</v>
      </c>
      <c r="G165" s="7" t="n">
        <v>0</v>
      </c>
      <c r="H165" s="7" t="n">
        <v>0</v>
      </c>
      <c r="I165" s="7">
        <f>C165+F165</f>
        <v/>
      </c>
      <c r="J165" s="7">
        <f>D165+G165</f>
        <v/>
      </c>
      <c r="K165" s="7">
        <f>E165+H165</f>
        <v/>
      </c>
      <c r="L165" s="7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>
        <f>L165+O165</f>
        <v/>
      </c>
      <c r="S165" s="7">
        <f>M165+P165</f>
        <v/>
      </c>
      <c r="T165" s="7">
        <f>N165+Q165</f>
        <v/>
      </c>
    </row>
    <row r="166" hidden="1">
      <c r="A166" s="7" t="inlineStr">
        <is>
          <t>210123</t>
        </is>
      </c>
      <c r="B166" s="7" t="inlineStr">
        <is>
          <t>Ptmos en MN R UF</t>
        </is>
      </c>
      <c r="C166" s="7" t="n">
        <v>0</v>
      </c>
      <c r="D166" s="7" t="n">
        <v>0</v>
      </c>
      <c r="E166" s="7" t="n">
        <v>0</v>
      </c>
      <c r="F166" s="7" t="n">
        <v>0</v>
      </c>
      <c r="G166" s="7" t="n">
        <v>0</v>
      </c>
      <c r="H166" s="7" t="n">
        <v>0</v>
      </c>
      <c r="I166" s="7">
        <f>C166+F166</f>
        <v/>
      </c>
      <c r="J166" s="7">
        <f>D166+G166</f>
        <v/>
      </c>
      <c r="K166" s="7">
        <f>E166+H166</f>
        <v/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>
        <f>L166+O166</f>
        <v/>
      </c>
      <c r="S166" s="7">
        <f>M166+P166</f>
        <v/>
      </c>
      <c r="T166" s="7">
        <f>N166+Q166</f>
        <v/>
      </c>
    </row>
    <row r="167">
      <c r="A167" s="4" t="inlineStr">
        <is>
          <t>CUENTAS POR PAGAR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</row>
    <row r="168">
      <c r="A168" s="6" t="inlineStr">
        <is>
          <t>210311</t>
        </is>
      </c>
      <c r="B168" s="6" t="inlineStr">
        <is>
          <t>Proveedores Nacionales</t>
        </is>
      </c>
      <c r="C168" s="6" t="n">
        <v>99932.8700000001</v>
      </c>
      <c r="D168" s="6" t="n">
        <v>106353.2800000001</v>
      </c>
      <c r="E168" s="6" t="n">
        <v>-6420.409999999989</v>
      </c>
      <c r="F168" s="6" t="n">
        <v>36.31000000000001</v>
      </c>
      <c r="G168" s="6" t="n">
        <v>63.07000000000001</v>
      </c>
      <c r="H168" s="6" t="n">
        <v>-26.76000000000001</v>
      </c>
      <c r="I168" s="6">
        <f>C168+F168</f>
        <v/>
      </c>
      <c r="J168" s="6">
        <f>D168+G168</f>
        <v/>
      </c>
      <c r="K168" s="6">
        <f>E168+H168</f>
        <v/>
      </c>
      <c r="L168" s="6" t="n">
        <v>4005939911</v>
      </c>
      <c r="M168" s="6" t="n">
        <v>4261433962</v>
      </c>
      <c r="N168" s="6" t="n">
        <v>-255494051</v>
      </c>
      <c r="O168" s="6" t="n">
        <v>1458648</v>
      </c>
      <c r="P168" s="6" t="n">
        <v>2551793</v>
      </c>
      <c r="Q168" s="6" t="n">
        <v>-1093145</v>
      </c>
      <c r="R168" s="6">
        <f>L168+O168</f>
        <v/>
      </c>
      <c r="S168" s="6">
        <f>M168+P168</f>
        <v/>
      </c>
      <c r="T168" s="6">
        <f>N168+Q168</f>
        <v/>
      </c>
    </row>
    <row r="169" hidden="1">
      <c r="A169" s="7" t="inlineStr">
        <is>
          <t>210314</t>
        </is>
      </c>
      <c r="B169" s="7" t="inlineStr">
        <is>
          <t>Anticipos de Clientes</t>
        </is>
      </c>
      <c r="C169" s="7" t="n">
        <v>0</v>
      </c>
      <c r="D169" s="7" t="n">
        <v>0</v>
      </c>
      <c r="E169" s="7" t="n">
        <v>0</v>
      </c>
      <c r="F169" s="7" t="n">
        <v>0</v>
      </c>
      <c r="G169" s="7" t="n">
        <v>0</v>
      </c>
      <c r="H169" s="7" t="n">
        <v>0</v>
      </c>
      <c r="I169" s="7">
        <f>C169+F169</f>
        <v/>
      </c>
      <c r="J169" s="7">
        <f>D169+G169</f>
        <v/>
      </c>
      <c r="K169" s="7">
        <f>E169+H169</f>
        <v/>
      </c>
      <c r="L169" s="7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>
        <f>L169+O169</f>
        <v/>
      </c>
      <c r="S169" s="7">
        <f>M169+P169</f>
        <v/>
      </c>
      <c r="T169" s="7">
        <f>N169+Q169</f>
        <v/>
      </c>
    </row>
    <row r="170" hidden="1">
      <c r="A170" s="7" t="inlineStr">
        <is>
          <t>210315</t>
        </is>
      </c>
      <c r="B170" s="7" t="inlineStr">
        <is>
          <t>Cuentas por Pagar</t>
        </is>
      </c>
      <c r="C170" s="7" t="n">
        <v>0</v>
      </c>
      <c r="D170" s="7" t="n">
        <v>0</v>
      </c>
      <c r="E170" s="7" t="n">
        <v>0</v>
      </c>
      <c r="F170" s="7" t="n">
        <v>0</v>
      </c>
      <c r="G170" s="7" t="n">
        <v>0</v>
      </c>
      <c r="H170" s="7" t="n">
        <v>0</v>
      </c>
      <c r="I170" s="7">
        <f>C170+F170</f>
        <v/>
      </c>
      <c r="J170" s="7">
        <f>D170+G170</f>
        <v/>
      </c>
      <c r="K170" s="7">
        <f>E170+H170</f>
        <v/>
      </c>
      <c r="L170" s="7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>
        <f>L170+O170</f>
        <v/>
      </c>
      <c r="S170" s="7">
        <f>M170+P170</f>
        <v/>
      </c>
      <c r="T170" s="7">
        <f>N170+Q170</f>
        <v/>
      </c>
    </row>
    <row r="171">
      <c r="A171" s="4" t="inlineStr">
        <is>
          <t>ACREEDORES VARIOS</t>
        </is>
      </c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</row>
    <row r="172" hidden="1">
      <c r="A172" s="7" t="inlineStr">
        <is>
          <t>210411</t>
        </is>
      </c>
      <c r="B172" s="7" t="inlineStr">
        <is>
          <t>Varios Acreedores</t>
        </is>
      </c>
      <c r="C172" s="7" t="n">
        <v>0</v>
      </c>
      <c r="D172" s="7" t="n">
        <v>0</v>
      </c>
      <c r="E172" s="7" t="n">
        <v>0</v>
      </c>
      <c r="F172" s="7" t="n">
        <v>0</v>
      </c>
      <c r="G172" s="7" t="n">
        <v>0</v>
      </c>
      <c r="H172" s="7" t="n">
        <v>0</v>
      </c>
      <c r="I172" s="7">
        <f>C172+F172</f>
        <v/>
      </c>
      <c r="J172" s="7">
        <f>D172+G172</f>
        <v/>
      </c>
      <c r="K172" s="7">
        <f>E172+H172</f>
        <v/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>
        <f>L172+O172</f>
        <v/>
      </c>
      <c r="S172" s="7">
        <f>M172+P172</f>
        <v/>
      </c>
      <c r="T172" s="7">
        <f>N172+Q172</f>
        <v/>
      </c>
    </row>
    <row r="173" hidden="1">
      <c r="A173" s="7" t="inlineStr">
        <is>
          <t>210412</t>
        </is>
      </c>
      <c r="B173" s="7" t="inlineStr">
        <is>
          <t>Cheques Girados y No Cobrados</t>
        </is>
      </c>
      <c r="C173" s="7" t="n">
        <v>0</v>
      </c>
      <c r="D173" s="7" t="n">
        <v>0</v>
      </c>
      <c r="E173" s="7" t="n">
        <v>0</v>
      </c>
      <c r="F173" s="7" t="n">
        <v>0</v>
      </c>
      <c r="G173" s="7" t="n">
        <v>0</v>
      </c>
      <c r="H173" s="7" t="n">
        <v>0</v>
      </c>
      <c r="I173" s="7">
        <f>C173+F173</f>
        <v/>
      </c>
      <c r="J173" s="7">
        <f>D173+G173</f>
        <v/>
      </c>
      <c r="K173" s="7">
        <f>E173+H173</f>
        <v/>
      </c>
      <c r="L173" s="7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>
        <f>L173+O173</f>
        <v/>
      </c>
      <c r="S173" s="7">
        <f>M173+P173</f>
        <v/>
      </c>
      <c r="T173" s="7">
        <f>N173+Q173</f>
        <v/>
      </c>
    </row>
    <row r="174">
      <c r="A174" s="4" t="inlineStr">
        <is>
          <t>DOCTOS Y CTAS POR PAGAR EERR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</row>
    <row r="175">
      <c r="A175" s="6" t="inlineStr">
        <is>
          <t>210511</t>
        </is>
      </c>
      <c r="B175" s="6" t="inlineStr">
        <is>
          <t>Cta. Cte. Impulsa Desarrollos Inmob. SPA / Cta. Cte. Inmobiliaria EPlaza SPA</t>
        </is>
      </c>
      <c r="C175" s="6" t="n">
        <v>0</v>
      </c>
      <c r="D175" s="6" t="n">
        <v>0</v>
      </c>
      <c r="E175" s="6" t="n">
        <v>0</v>
      </c>
      <c r="F175" s="6" t="n">
        <v>0</v>
      </c>
      <c r="G175" s="6" t="n">
        <v>16042.73</v>
      </c>
      <c r="H175" s="6" t="n">
        <v>-16042.73</v>
      </c>
      <c r="I175" s="6">
        <f>C175+F175</f>
        <v/>
      </c>
      <c r="J175" s="6">
        <f>D175+G175</f>
        <v/>
      </c>
      <c r="K175" s="6">
        <f>E175+H175</f>
        <v/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639194033</v>
      </c>
      <c r="Q175" s="6" t="n">
        <v>-639194033</v>
      </c>
      <c r="R175" s="6">
        <f>L175+O175</f>
        <v/>
      </c>
      <c r="S175" s="6">
        <f>M175+P175</f>
        <v/>
      </c>
      <c r="T175" s="6">
        <f>N175+Q175</f>
        <v/>
      </c>
    </row>
    <row r="176" hidden="1">
      <c r="A176" s="7" t="inlineStr">
        <is>
          <t>210513</t>
        </is>
      </c>
      <c r="B176" s="7" t="inlineStr">
        <is>
          <t>Cta. Cte. Impulsa Corretajes y Gestion SPA</t>
        </is>
      </c>
      <c r="C176" s="7" t="n">
        <v>0</v>
      </c>
      <c r="D176" s="7" t="n">
        <v>0</v>
      </c>
      <c r="E176" s="7" t="n">
        <v>0</v>
      </c>
      <c r="F176" s="7" t="n">
        <v>0</v>
      </c>
      <c r="G176" s="7" t="n">
        <v>0</v>
      </c>
      <c r="H176" s="7" t="n">
        <v>0</v>
      </c>
      <c r="I176" s="7">
        <f>C176+F176</f>
        <v/>
      </c>
      <c r="J176" s="7">
        <f>D176+G176</f>
        <v/>
      </c>
      <c r="K176" s="7">
        <f>E176+H176</f>
        <v/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>
        <f>L176+O176</f>
        <v/>
      </c>
      <c r="S176" s="7">
        <f>M176+P176</f>
        <v/>
      </c>
      <c r="T176" s="7">
        <f>N176+Q176</f>
        <v/>
      </c>
    </row>
    <row r="177" hidden="1">
      <c r="A177" s="7" t="inlineStr">
        <is>
          <t>210514</t>
        </is>
      </c>
      <c r="B177" s="7" t="inlineStr">
        <is>
          <t>Cta. Cte. Inversiones San Luis Ltda.</t>
        </is>
      </c>
      <c r="C177" s="7" t="n">
        <v>0</v>
      </c>
      <c r="D177" s="7" t="n">
        <v>0</v>
      </c>
      <c r="E177" s="7" t="n">
        <v>0</v>
      </c>
      <c r="F177" s="7" t="n">
        <v>0</v>
      </c>
      <c r="G177" s="7" t="n">
        <v>0</v>
      </c>
      <c r="H177" s="7" t="n">
        <v>0</v>
      </c>
      <c r="I177" s="7">
        <f>C177+F177</f>
        <v/>
      </c>
      <c r="J177" s="7">
        <f>D177+G177</f>
        <v/>
      </c>
      <c r="K177" s="7">
        <f>E177+H177</f>
        <v/>
      </c>
      <c r="L177" s="7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>
        <f>L177+O177</f>
        <v/>
      </c>
      <c r="S177" s="7">
        <f>M177+P177</f>
        <v/>
      </c>
      <c r="T177" s="7">
        <f>N177+Q177</f>
        <v/>
      </c>
    </row>
    <row r="178">
      <c r="A178" s="4" t="inlineStr">
        <is>
          <t>IMPUESTO A LA RENTA</t>
        </is>
      </c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</row>
    <row r="179" hidden="1">
      <c r="A179" s="7" t="inlineStr">
        <is>
          <t>210811</t>
        </is>
      </c>
      <c r="B179" s="7" t="inlineStr">
        <is>
          <t>Provision Impuesto a la Renta</t>
        </is>
      </c>
      <c r="C179" s="7" t="n">
        <v>0</v>
      </c>
      <c r="D179" s="7" t="n">
        <v>0</v>
      </c>
      <c r="E179" s="7" t="n">
        <v>0</v>
      </c>
      <c r="F179" s="7" t="n">
        <v>0</v>
      </c>
      <c r="G179" s="7" t="n">
        <v>0</v>
      </c>
      <c r="H179" s="7" t="n">
        <v>0</v>
      </c>
      <c r="I179" s="7">
        <f>C179+F179</f>
        <v/>
      </c>
      <c r="J179" s="7">
        <f>D179+G179</f>
        <v/>
      </c>
      <c r="K179" s="7">
        <f>E179+H179</f>
        <v/>
      </c>
      <c r="L179" s="7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>
        <f>L179+O179</f>
        <v/>
      </c>
      <c r="S179" s="7">
        <f>M179+P179</f>
        <v/>
      </c>
      <c r="T179" s="7">
        <f>N179+Q179</f>
        <v/>
      </c>
    </row>
    <row r="180">
      <c r="A180" s="4" t="inlineStr">
        <is>
          <t>OTROS PASIVOS CORRIENTES</t>
        </is>
      </c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</row>
    <row r="181" hidden="1">
      <c r="A181" s="7" t="inlineStr">
        <is>
          <t>210911</t>
        </is>
      </c>
      <c r="B181" s="7" t="inlineStr">
        <is>
          <t>Remuneraciones por Pagar</t>
        </is>
      </c>
      <c r="C181" s="7" t="n">
        <v>0</v>
      </c>
      <c r="D181" s="7" t="n">
        <v>0</v>
      </c>
      <c r="E181" s="7" t="n">
        <v>0</v>
      </c>
      <c r="F181" s="7" t="n">
        <v>0</v>
      </c>
      <c r="G181" s="7" t="n">
        <v>0</v>
      </c>
      <c r="H181" s="7" t="n">
        <v>0</v>
      </c>
      <c r="I181" s="7">
        <f>C181+F181</f>
        <v/>
      </c>
      <c r="J181" s="7">
        <f>D181+G181</f>
        <v/>
      </c>
      <c r="K181" s="7">
        <f>E181+H181</f>
        <v/>
      </c>
      <c r="L181" s="7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>
        <f>L181+O181</f>
        <v/>
      </c>
      <c r="S181" s="7">
        <f>M181+P181</f>
        <v/>
      </c>
      <c r="T181" s="7">
        <f>N181+Q181</f>
        <v/>
      </c>
    </row>
    <row r="182" hidden="1">
      <c r="A182" s="7" t="inlineStr">
        <is>
          <t>210912</t>
        </is>
      </c>
      <c r="B182" s="7" t="inlineStr">
        <is>
          <t>Finiquitos por Pagar</t>
        </is>
      </c>
      <c r="C182" s="7" t="n">
        <v>0</v>
      </c>
      <c r="D182" s="7" t="n">
        <v>0</v>
      </c>
      <c r="E182" s="7" t="n">
        <v>0</v>
      </c>
      <c r="F182" s="7" t="n">
        <v>0</v>
      </c>
      <c r="G182" s="7" t="n">
        <v>0</v>
      </c>
      <c r="H182" s="7" t="n">
        <v>0</v>
      </c>
      <c r="I182" s="7">
        <f>C182+F182</f>
        <v/>
      </c>
      <c r="J182" s="7">
        <f>D182+G182</f>
        <v/>
      </c>
      <c r="K182" s="7">
        <f>E182+H182</f>
        <v/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>
        <f>L182+O182</f>
        <v/>
      </c>
      <c r="S182" s="7">
        <f>M182+P182</f>
        <v/>
      </c>
      <c r="T182" s="7">
        <f>N182+Q182</f>
        <v/>
      </c>
    </row>
    <row r="183" hidden="1">
      <c r="A183" s="7" t="inlineStr">
        <is>
          <t>210921</t>
        </is>
      </c>
      <c r="B183" s="7" t="inlineStr">
        <is>
          <t>A.F.P.</t>
        </is>
      </c>
      <c r="C183" s="7" t="n">
        <v>0</v>
      </c>
      <c r="D183" s="7" t="n">
        <v>0</v>
      </c>
      <c r="E183" s="7" t="n">
        <v>0</v>
      </c>
      <c r="F183" s="7" t="n">
        <v>0</v>
      </c>
      <c r="G183" s="7" t="n">
        <v>0</v>
      </c>
      <c r="H183" s="7" t="n">
        <v>0</v>
      </c>
      <c r="I183" s="7">
        <f>C183+F183</f>
        <v/>
      </c>
      <c r="J183" s="7">
        <f>D183+G183</f>
        <v/>
      </c>
      <c r="K183" s="7">
        <f>E183+H183</f>
        <v/>
      </c>
      <c r="L183" s="7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>
        <f>L183+O183</f>
        <v/>
      </c>
      <c r="S183" s="7">
        <f>M183+P183</f>
        <v/>
      </c>
      <c r="T183" s="7">
        <f>N183+Q183</f>
        <v/>
      </c>
    </row>
    <row r="184" hidden="1">
      <c r="A184" s="7" t="inlineStr">
        <is>
          <t>210922</t>
        </is>
      </c>
      <c r="B184" s="7" t="inlineStr">
        <is>
          <t>Isapres</t>
        </is>
      </c>
      <c r="C184" s="7" t="n">
        <v>0</v>
      </c>
      <c r="D184" s="7" t="n">
        <v>0</v>
      </c>
      <c r="E184" s="7" t="n">
        <v>0</v>
      </c>
      <c r="F184" s="7" t="n">
        <v>0</v>
      </c>
      <c r="G184" s="7" t="n">
        <v>0</v>
      </c>
      <c r="H184" s="7" t="n">
        <v>0</v>
      </c>
      <c r="I184" s="7">
        <f>C184+F184</f>
        <v/>
      </c>
      <c r="J184" s="7">
        <f>D184+G184</f>
        <v/>
      </c>
      <c r="K184" s="7">
        <f>E184+H184</f>
        <v/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>
        <f>L184+O184</f>
        <v/>
      </c>
      <c r="S184" s="7">
        <f>M184+P184</f>
        <v/>
      </c>
      <c r="T184" s="7">
        <f>N184+Q184</f>
        <v/>
      </c>
    </row>
    <row r="185" hidden="1">
      <c r="A185" s="7" t="inlineStr">
        <is>
          <t>210923</t>
        </is>
      </c>
      <c r="B185" s="7" t="inlineStr">
        <is>
          <t>Otras Entidades Previsionales</t>
        </is>
      </c>
      <c r="C185" s="7" t="n">
        <v>0</v>
      </c>
      <c r="D185" s="7" t="n">
        <v>0</v>
      </c>
      <c r="E185" s="7" t="n">
        <v>0</v>
      </c>
      <c r="F185" s="7" t="n">
        <v>0</v>
      </c>
      <c r="G185" s="7" t="n">
        <v>0</v>
      </c>
      <c r="H185" s="7" t="n">
        <v>0</v>
      </c>
      <c r="I185" s="7">
        <f>C185+F185</f>
        <v/>
      </c>
      <c r="J185" s="7">
        <f>D185+G185</f>
        <v/>
      </c>
      <c r="K185" s="7">
        <f>E185+H185</f>
        <v/>
      </c>
      <c r="L185" s="7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>
        <f>L185+O185</f>
        <v/>
      </c>
      <c r="S185" s="7">
        <f>M185+P185</f>
        <v/>
      </c>
      <c r="T185" s="7">
        <f>N185+Q185</f>
        <v/>
      </c>
    </row>
    <row r="186" hidden="1">
      <c r="A186" s="7" t="inlineStr">
        <is>
          <t>210931</t>
        </is>
      </c>
      <c r="B186" s="7" t="inlineStr">
        <is>
          <t>Impuesto Unico a Trabajadores</t>
        </is>
      </c>
      <c r="C186" s="7" t="n">
        <v>0</v>
      </c>
      <c r="D186" s="7" t="n">
        <v>0</v>
      </c>
      <c r="E186" s="7" t="n">
        <v>0</v>
      </c>
      <c r="F186" s="7" t="n">
        <v>0</v>
      </c>
      <c r="G186" s="7" t="n">
        <v>0</v>
      </c>
      <c r="H186" s="7" t="n">
        <v>0</v>
      </c>
      <c r="I186" s="7">
        <f>C186+F186</f>
        <v/>
      </c>
      <c r="J186" s="7">
        <f>D186+G186</f>
        <v/>
      </c>
      <c r="K186" s="7">
        <f>E186+H186</f>
        <v/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>
        <f>L186+O186</f>
        <v/>
      </c>
      <c r="S186" s="7">
        <f>M186+P186</f>
        <v/>
      </c>
      <c r="T186" s="7">
        <f>N186+Q186</f>
        <v/>
      </c>
    </row>
    <row r="187">
      <c r="A187" s="6" t="inlineStr">
        <is>
          <t>210932</t>
        </is>
      </c>
      <c r="B187" s="6" t="inlineStr">
        <is>
          <t>Impto Retenido a Profesionales</t>
        </is>
      </c>
      <c r="C187" s="6" t="n">
        <v>42.13999999999999</v>
      </c>
      <c r="D187" s="6" t="n">
        <v>42.93999999999999</v>
      </c>
      <c r="E187" s="6" t="n">
        <v>-0.7999999999999972</v>
      </c>
      <c r="F187" s="6" t="n">
        <v>2.859999999999999</v>
      </c>
      <c r="G187" s="6" t="n">
        <v>3.219999999999999</v>
      </c>
      <c r="H187" s="6" t="n">
        <v>-0.3599999999999999</v>
      </c>
      <c r="I187" s="6">
        <f>C187+F187</f>
        <v/>
      </c>
      <c r="J187" s="6">
        <f>D187+G187</f>
        <v/>
      </c>
      <c r="K187" s="6">
        <f>E187+H187</f>
        <v/>
      </c>
      <c r="L187" s="6" t="n">
        <v>1678533</v>
      </c>
      <c r="M187" s="6" t="n">
        <v>1710922</v>
      </c>
      <c r="N187" s="6" t="n">
        <v>-32389</v>
      </c>
      <c r="O187" s="6" t="n">
        <v>114866</v>
      </c>
      <c r="P187" s="6" t="n">
        <v>129576</v>
      </c>
      <c r="Q187" s="6" t="n">
        <v>-14710</v>
      </c>
      <c r="R187" s="6">
        <f>L187+O187</f>
        <v/>
      </c>
      <c r="S187" s="6">
        <f>M187+P187</f>
        <v/>
      </c>
      <c r="T187" s="6">
        <f>N187+Q187</f>
        <v/>
      </c>
    </row>
    <row r="188" hidden="1">
      <c r="A188" s="7" t="inlineStr">
        <is>
          <t>210933</t>
        </is>
      </c>
      <c r="B188" s="7" t="inlineStr">
        <is>
          <t>IVA Debito Fiscal</t>
        </is>
      </c>
      <c r="C188" s="7" t="n">
        <v>0</v>
      </c>
      <c r="D188" s="7" t="n">
        <v>0</v>
      </c>
      <c r="E188" s="7" t="n">
        <v>0</v>
      </c>
      <c r="F188" s="7" t="n">
        <v>0</v>
      </c>
      <c r="G188" s="7" t="n">
        <v>0</v>
      </c>
      <c r="H188" s="7" t="n">
        <v>0</v>
      </c>
      <c r="I188" s="7">
        <f>C188+F188</f>
        <v/>
      </c>
      <c r="J188" s="7">
        <f>D188+G188</f>
        <v/>
      </c>
      <c r="K188" s="7">
        <f>E188+H188</f>
        <v/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>
        <f>L188+O188</f>
        <v/>
      </c>
      <c r="S188" s="7">
        <f>M188+P188</f>
        <v/>
      </c>
      <c r="T188" s="7">
        <f>N188+Q188</f>
        <v/>
      </c>
    </row>
    <row r="189" hidden="1">
      <c r="A189" s="7" t="inlineStr">
        <is>
          <t>210935</t>
        </is>
      </c>
      <c r="B189" s="7" t="inlineStr">
        <is>
          <t>PPM por Enterar</t>
        </is>
      </c>
      <c r="C189" s="7" t="n">
        <v>0</v>
      </c>
      <c r="D189" s="7" t="n">
        <v>0</v>
      </c>
      <c r="E189" s="7" t="n">
        <v>0</v>
      </c>
      <c r="F189" s="7" t="n">
        <v>0</v>
      </c>
      <c r="G189" s="7" t="n">
        <v>0</v>
      </c>
      <c r="H189" s="7" t="n">
        <v>0</v>
      </c>
      <c r="I189" s="7">
        <f>C189+F189</f>
        <v/>
      </c>
      <c r="J189" s="7">
        <f>D189+G189</f>
        <v/>
      </c>
      <c r="K189" s="7">
        <f>E189+H189</f>
        <v/>
      </c>
      <c r="L189" s="7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>
        <f>L189+O189</f>
        <v/>
      </c>
      <c r="S189" s="7">
        <f>M189+P189</f>
        <v/>
      </c>
      <c r="T189" s="7">
        <f>N189+Q189</f>
        <v/>
      </c>
    </row>
    <row r="190">
      <c r="A190" s="6" t="inlineStr">
        <is>
          <t>210941</t>
        </is>
      </c>
      <c r="B190" s="6" t="inlineStr">
        <is>
          <t>Honorarios x Pagar</t>
        </is>
      </c>
      <c r="C190" s="6" t="n">
        <v>237.74</v>
      </c>
      <c r="D190" s="6" t="n">
        <v>244.39</v>
      </c>
      <c r="E190" s="6" t="n">
        <v>-6.650000000000006</v>
      </c>
      <c r="F190" s="6" t="n">
        <v>14</v>
      </c>
      <c r="G190" s="6" t="n">
        <v>20</v>
      </c>
      <c r="H190" s="6" t="n">
        <v>-6</v>
      </c>
      <c r="I190" s="6">
        <f>C190+F190</f>
        <v/>
      </c>
      <c r="J190" s="6">
        <f>D190+G190</f>
        <v/>
      </c>
      <c r="K190" s="6">
        <f>E190+H190</f>
        <v/>
      </c>
      <c r="L190" s="6" t="n">
        <v>9473960</v>
      </c>
      <c r="M190" s="6" t="n">
        <v>9733960</v>
      </c>
      <c r="N190" s="6" t="n">
        <v>-260000</v>
      </c>
      <c r="O190" s="6" t="n">
        <v>558881</v>
      </c>
      <c r="P190" s="6" t="n">
        <v>803959</v>
      </c>
      <c r="Q190" s="6" t="n">
        <v>-245078</v>
      </c>
      <c r="R190" s="6">
        <f>L190+O190</f>
        <v/>
      </c>
      <c r="S190" s="6">
        <f>M190+P190</f>
        <v/>
      </c>
      <c r="T190" s="6">
        <f>N190+Q190</f>
        <v/>
      </c>
    </row>
    <row r="191">
      <c r="A191" s="4" t="inlineStr">
        <is>
          <t>OBLIG. C/BCOS E INST FINANC. L/PLAZO</t>
        </is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</row>
    <row r="192" hidden="1">
      <c r="A192" s="7" t="inlineStr">
        <is>
          <t>220111</t>
        </is>
      </c>
      <c r="B192" s="7" t="inlineStr">
        <is>
          <t>Ptmos en MN NR a L/Pzo / Ptmos en MN R UF a L/Pzo</t>
        </is>
      </c>
      <c r="C192" s="7" t="n">
        <v>0</v>
      </c>
      <c r="D192" s="7" t="n">
        <v>0</v>
      </c>
      <c r="E192" s="7" t="n">
        <v>0</v>
      </c>
      <c r="F192" s="7" t="n">
        <v>0</v>
      </c>
      <c r="G192" s="7" t="n">
        <v>0</v>
      </c>
      <c r="H192" s="7" t="n">
        <v>0</v>
      </c>
      <c r="I192" s="7">
        <f>C192+F192</f>
        <v/>
      </c>
      <c r="J192" s="7">
        <f>D192+G192</f>
        <v/>
      </c>
      <c r="K192" s="7">
        <f>E192+H192</f>
        <v/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>
        <f>L192+O192</f>
        <v/>
      </c>
      <c r="S192" s="7">
        <f>M192+P192</f>
        <v/>
      </c>
      <c r="T192" s="7">
        <f>N192+Q192</f>
        <v/>
      </c>
    </row>
    <row r="193">
      <c r="A193" s="6" t="inlineStr">
        <is>
          <t>220112</t>
        </is>
      </c>
      <c r="B193" s="6" t="inlineStr">
        <is>
          <t>Ptmos en MN R UF a L/Pzo</t>
        </is>
      </c>
      <c r="C193" s="6" t="n">
        <v>68653</v>
      </c>
      <c r="D193" s="6" t="n">
        <v>430666</v>
      </c>
      <c r="E193" s="6" t="n">
        <v>-362013</v>
      </c>
      <c r="F193" s="6" t="n">
        <v>0</v>
      </c>
      <c r="G193" s="6" t="n">
        <v>0</v>
      </c>
      <c r="H193" s="6" t="n">
        <v>0</v>
      </c>
      <c r="I193" s="6">
        <f>C193+F193</f>
        <v/>
      </c>
      <c r="J193" s="6">
        <f>D193+G193</f>
        <v/>
      </c>
      <c r="K193" s="6">
        <f>E193+H193</f>
        <v/>
      </c>
      <c r="L193" s="6" t="n">
        <v>2727443637</v>
      </c>
      <c r="M193" s="6" t="n">
        <v>17125573126</v>
      </c>
      <c r="N193" s="6" t="n">
        <v>-14398129489</v>
      </c>
      <c r="O193" s="6" t="n">
        <v>0</v>
      </c>
      <c r="P193" s="6" t="n">
        <v>0</v>
      </c>
      <c r="Q193" s="6" t="n">
        <v>0</v>
      </c>
      <c r="R193" s="6">
        <f>L193+O193</f>
        <v/>
      </c>
      <c r="S193" s="6">
        <f>M193+P193</f>
        <v/>
      </c>
      <c r="T193" s="6">
        <f>N193+Q193</f>
        <v/>
      </c>
    </row>
    <row r="194">
      <c r="A194" s="4" t="inlineStr">
        <is>
          <t>OTROS PASIVOS NO CORRIENTES</t>
        </is>
      </c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</row>
    <row r="195">
      <c r="A195" s="6" t="inlineStr">
        <is>
          <t>220311</t>
        </is>
      </c>
      <c r="B195" s="6" t="inlineStr">
        <is>
          <t>Documentos por Pagar L/Pzo</t>
        </is>
      </c>
      <c r="C195" s="6" t="n">
        <v>0</v>
      </c>
      <c r="D195" s="6" t="n">
        <v>47267</v>
      </c>
      <c r="E195" s="6" t="n">
        <v>-47267</v>
      </c>
      <c r="F195" s="6" t="n">
        <v>0</v>
      </c>
      <c r="G195" s="6" t="n">
        <v>0</v>
      </c>
      <c r="H195" s="6" t="n">
        <v>0</v>
      </c>
      <c r="I195" s="6">
        <f>C195+F195</f>
        <v/>
      </c>
      <c r="J195" s="6">
        <f>D195+G195</f>
        <v/>
      </c>
      <c r="K195" s="6">
        <f>E195+H195</f>
        <v/>
      </c>
      <c r="L195" s="6" t="n">
        <v>0</v>
      </c>
      <c r="M195" s="6" t="n">
        <v>1877821485</v>
      </c>
      <c r="N195" s="6" t="n">
        <v>-1877821485</v>
      </c>
      <c r="O195" s="6" t="n">
        <v>0</v>
      </c>
      <c r="P195" s="6" t="n">
        <v>0</v>
      </c>
      <c r="Q195" s="6" t="n">
        <v>0</v>
      </c>
      <c r="R195" s="6">
        <f>L195+O195</f>
        <v/>
      </c>
      <c r="S195" s="6">
        <f>M195+P195</f>
        <v/>
      </c>
      <c r="T195" s="6">
        <f>N195+Q195</f>
        <v/>
      </c>
    </row>
    <row r="196">
      <c r="A196" s="6" t="inlineStr">
        <is>
          <t>220412</t>
        </is>
      </c>
      <c r="B196" s="6" t="inlineStr">
        <is>
          <t>Garantia Clientes L/Pzo</t>
        </is>
      </c>
      <c r="C196" s="6" t="n">
        <v>12.56</v>
      </c>
      <c r="D196" s="6" t="n">
        <v>338.71</v>
      </c>
      <c r="E196" s="6" t="n">
        <v>-326.15</v>
      </c>
      <c r="F196" s="6" t="n">
        <v>0</v>
      </c>
      <c r="G196" s="6" t="n">
        <v>0</v>
      </c>
      <c r="H196" s="6" t="n">
        <v>0</v>
      </c>
      <c r="I196" s="6">
        <f>C196+F196</f>
        <v/>
      </c>
      <c r="J196" s="6">
        <f>D196+G196</f>
        <v/>
      </c>
      <c r="K196" s="6">
        <f>E196+H196</f>
        <v/>
      </c>
      <c r="L196" s="6" t="n">
        <v>500000</v>
      </c>
      <c r="M196" s="6" t="n">
        <v>13500000</v>
      </c>
      <c r="N196" s="6" t="n">
        <v>-13000000</v>
      </c>
      <c r="O196" s="6" t="n">
        <v>0</v>
      </c>
      <c r="P196" s="6" t="n">
        <v>0</v>
      </c>
      <c r="Q196" s="6" t="n">
        <v>0</v>
      </c>
      <c r="R196" s="6">
        <f>L196+O196</f>
        <v/>
      </c>
      <c r="S196" s="6">
        <f>M196+P196</f>
        <v/>
      </c>
      <c r="T196" s="6">
        <f>N196+Q196</f>
        <v/>
      </c>
    </row>
    <row r="197">
      <c r="A197" s="4" t="inlineStr">
        <is>
          <t>DOCTOS Y CTAS POR PAGAR SOCIOS</t>
        </is>
      </c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</row>
    <row r="198">
      <c r="A198" s="6" t="inlineStr">
        <is>
          <t>220511</t>
        </is>
      </c>
      <c r="B198" s="6" t="inlineStr">
        <is>
          <t>Cta. Cte. Inversiones Ficus Ltda.</t>
        </is>
      </c>
      <c r="C198" s="6" t="n">
        <v>0</v>
      </c>
      <c r="D198" s="6" t="n">
        <v>0</v>
      </c>
      <c r="E198" s="6" t="n">
        <v>0</v>
      </c>
      <c r="F198" s="6" t="n">
        <v>0</v>
      </c>
      <c r="G198" s="6" t="n">
        <v>10547.37</v>
      </c>
      <c r="H198" s="6" t="n">
        <v>-10547.37</v>
      </c>
      <c r="I198" s="6">
        <f>C198+F198</f>
        <v/>
      </c>
      <c r="J198" s="6">
        <f>D198+G198</f>
        <v/>
      </c>
      <c r="K198" s="6">
        <f>E198+H198</f>
        <v/>
      </c>
      <c r="L198" s="6" t="n">
        <v>0</v>
      </c>
      <c r="M198" s="6" t="n">
        <v>0</v>
      </c>
      <c r="N198" s="6" t="n">
        <v>0</v>
      </c>
      <c r="O198" s="6" t="n">
        <v>0</v>
      </c>
      <c r="P198" s="6" t="n">
        <v>419025493</v>
      </c>
      <c r="Q198" s="6" t="n">
        <v>-419025493</v>
      </c>
      <c r="R198" s="6">
        <f>L198+O198</f>
        <v/>
      </c>
      <c r="S198" s="6">
        <f>M198+P198</f>
        <v/>
      </c>
      <c r="T198" s="6">
        <f>N198+Q198</f>
        <v/>
      </c>
    </row>
    <row r="199">
      <c r="A199" s="6" t="inlineStr">
        <is>
          <t>220512</t>
        </is>
      </c>
      <c r="B199" s="6" t="inlineStr">
        <is>
          <t>Cta. Cte. Antullape Inversiones SPA</t>
        </is>
      </c>
      <c r="C199" s="6" t="n">
        <v>0</v>
      </c>
      <c r="D199" s="6" t="n">
        <v>0</v>
      </c>
      <c r="E199" s="6" t="n">
        <v>0</v>
      </c>
      <c r="F199" s="6" t="n">
        <v>0</v>
      </c>
      <c r="G199" s="6" t="n">
        <v>20181.9</v>
      </c>
      <c r="H199" s="6" t="n">
        <v>-20181.9</v>
      </c>
      <c r="I199" s="6">
        <f>C199+F199</f>
        <v/>
      </c>
      <c r="J199" s="6">
        <f>D199+G199</f>
        <v/>
      </c>
      <c r="K199" s="6">
        <f>E199+H199</f>
        <v/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801785716</v>
      </c>
      <c r="Q199" s="6" t="n">
        <v>-801785716</v>
      </c>
      <c r="R199" s="6">
        <f>L199+O199</f>
        <v/>
      </c>
      <c r="S199" s="6">
        <f>M199+P199</f>
        <v/>
      </c>
      <c r="T199" s="6">
        <f>N199+Q199</f>
        <v/>
      </c>
    </row>
    <row r="200">
      <c r="A200" s="6" t="inlineStr">
        <is>
          <t>220513</t>
        </is>
      </c>
      <c r="B200" s="6" t="inlineStr">
        <is>
          <t>Cta. Cte. Impulsa Inversiones II SPA</t>
        </is>
      </c>
      <c r="C200" s="6" t="n">
        <v>0</v>
      </c>
      <c r="D200" s="6" t="n">
        <v>0</v>
      </c>
      <c r="E200" s="6" t="n">
        <v>0</v>
      </c>
      <c r="F200" s="6" t="n">
        <v>1937.5</v>
      </c>
      <c r="G200" s="6" t="n">
        <v>22119.4</v>
      </c>
      <c r="H200" s="6" t="n">
        <v>-20181.9</v>
      </c>
      <c r="I200" s="6">
        <f>C200+F200</f>
        <v/>
      </c>
      <c r="J200" s="6">
        <f>D200+G200</f>
        <v/>
      </c>
      <c r="K200" s="6">
        <f>E200+H200</f>
        <v/>
      </c>
      <c r="L200" s="6" t="n">
        <v>0</v>
      </c>
      <c r="M200" s="6" t="n">
        <v>0</v>
      </c>
      <c r="N200" s="6" t="n">
        <v>0</v>
      </c>
      <c r="O200" s="6" t="n">
        <v>76972922</v>
      </c>
      <c r="P200" s="6" t="n">
        <v>878758638</v>
      </c>
      <c r="Q200" s="6" t="n">
        <v>-801785716</v>
      </c>
      <c r="R200" s="6">
        <f>L200+O200</f>
        <v/>
      </c>
      <c r="S200" s="6">
        <f>M200+P200</f>
        <v/>
      </c>
      <c r="T200" s="6">
        <f>N200+Q200</f>
        <v/>
      </c>
    </row>
    <row r="201" hidden="1">
      <c r="A201" s="7" t="inlineStr">
        <is>
          <t>220514</t>
        </is>
      </c>
      <c r="B201" s="7" t="inlineStr">
        <is>
          <t>Cta. Cte. Impulsa Desarrollos Inmob. SPA / Cta. Cte. Inversiones San Luis Ltda.</t>
        </is>
      </c>
      <c r="C201" s="7" t="n">
        <v>0</v>
      </c>
      <c r="D201" s="7" t="n">
        <v>0</v>
      </c>
      <c r="E201" s="7" t="n">
        <v>0</v>
      </c>
      <c r="F201" s="7" t="n">
        <v>0</v>
      </c>
      <c r="G201" s="7" t="n">
        <v>0</v>
      </c>
      <c r="H201" s="7" t="n">
        <v>0</v>
      </c>
      <c r="I201" s="7">
        <f>C201+F201</f>
        <v/>
      </c>
      <c r="J201" s="7">
        <f>D201+G201</f>
        <v/>
      </c>
      <c r="K201" s="7">
        <f>E201+H201</f>
        <v/>
      </c>
      <c r="L201" s="7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>
        <f>L201+O201</f>
        <v/>
      </c>
      <c r="S201" s="7">
        <f>M201+P201</f>
        <v/>
      </c>
      <c r="T201" s="7">
        <f>N201+Q201</f>
        <v/>
      </c>
    </row>
    <row r="202">
      <c r="A202" s="6" t="inlineStr">
        <is>
          <t>220515</t>
        </is>
      </c>
      <c r="B202" s="6" t="inlineStr">
        <is>
          <t>Cta. Cte. Inversiones y Ases. El Condor SPA</t>
        </is>
      </c>
      <c r="C202" s="6" t="n">
        <v>0</v>
      </c>
      <c r="D202" s="6" t="n">
        <v>0</v>
      </c>
      <c r="E202" s="6" t="n">
        <v>0</v>
      </c>
      <c r="F202" s="6" t="n">
        <v>0</v>
      </c>
      <c r="G202" s="6" t="n">
        <v>20181.9</v>
      </c>
      <c r="H202" s="6" t="n">
        <v>-20181.9</v>
      </c>
      <c r="I202" s="6">
        <f>C202+F202</f>
        <v/>
      </c>
      <c r="J202" s="6">
        <f>D202+G202</f>
        <v/>
      </c>
      <c r="K202" s="6">
        <f>E202+H202</f>
        <v/>
      </c>
      <c r="L202" s="6" t="n">
        <v>0</v>
      </c>
      <c r="M202" s="6" t="n">
        <v>0</v>
      </c>
      <c r="N202" s="6" t="n">
        <v>0</v>
      </c>
      <c r="O202" s="6" t="n">
        <v>0</v>
      </c>
      <c r="P202" s="6" t="n">
        <v>801785716</v>
      </c>
      <c r="Q202" s="6" t="n">
        <v>-801785716</v>
      </c>
      <c r="R202" s="6">
        <f>L202+O202</f>
        <v/>
      </c>
      <c r="S202" s="6">
        <f>M202+P202</f>
        <v/>
      </c>
      <c r="T202" s="6">
        <f>N202+Q202</f>
        <v/>
      </c>
    </row>
    <row r="203">
      <c r="A203" s="6" t="inlineStr">
        <is>
          <t>220516</t>
        </is>
      </c>
      <c r="B203" s="6" t="inlineStr">
        <is>
          <t>Cta. Cte. Grupo Impulsa SPA / Cta. Cte. FYTZ Desarrollos SPA</t>
        </is>
      </c>
      <c r="C203" s="6" t="n">
        <v>0</v>
      </c>
      <c r="D203" s="6" t="n">
        <v>164250.74</v>
      </c>
      <c r="E203" s="6" t="n">
        <v>-164250.74</v>
      </c>
      <c r="F203" s="6" t="n">
        <v>0</v>
      </c>
      <c r="G203" s="6" t="n">
        <v>8906.91</v>
      </c>
      <c r="H203" s="6" t="n">
        <v>-8906.91</v>
      </c>
      <c r="I203" s="6">
        <f>C203+F203</f>
        <v/>
      </c>
      <c r="J203" s="6">
        <f>D203+G203</f>
        <v/>
      </c>
      <c r="K203" s="6">
        <f>E203+H203</f>
        <v/>
      </c>
      <c r="L203" s="6" t="n">
        <v>0</v>
      </c>
      <c r="M203" s="6" t="n">
        <v>6525346829</v>
      </c>
      <c r="N203" s="6" t="n">
        <v>-6525346829</v>
      </c>
      <c r="O203" s="6" t="n">
        <v>0</v>
      </c>
      <c r="P203" s="6" t="n">
        <v>353853364</v>
      </c>
      <c r="Q203" s="6" t="n">
        <v>-353853364</v>
      </c>
      <c r="R203" s="6">
        <f>L203+O203</f>
        <v/>
      </c>
      <c r="S203" s="6">
        <f>M203+P203</f>
        <v/>
      </c>
      <c r="T203" s="6">
        <f>N203+Q203</f>
        <v/>
      </c>
    </row>
    <row r="204">
      <c r="A204" s="6" t="inlineStr">
        <is>
          <t>220517</t>
        </is>
      </c>
      <c r="B204" s="6" t="inlineStr">
        <is>
          <t>Cta. Cte. FIP Desarrollo Inmob Eliecer Parada / Cta. Cte. Inmobiliaria Las Pataguas Ltda.</t>
        </is>
      </c>
      <c r="C204" s="6" t="n">
        <v>0</v>
      </c>
      <c r="D204" s="6" t="n">
        <v>0</v>
      </c>
      <c r="E204" s="6" t="n">
        <v>0</v>
      </c>
      <c r="F204" s="6" t="n">
        <v>0</v>
      </c>
      <c r="G204" s="6" t="n">
        <v>19998.44</v>
      </c>
      <c r="H204" s="6" t="n">
        <v>-19998.44</v>
      </c>
      <c r="I204" s="6">
        <f>C204+F204</f>
        <v/>
      </c>
      <c r="J204" s="6">
        <f>D204+G204</f>
        <v/>
      </c>
      <c r="K204" s="6">
        <f>E204+H204</f>
        <v/>
      </c>
      <c r="L204" s="6" t="n">
        <v>0</v>
      </c>
      <c r="M204" s="6" t="n">
        <v>0</v>
      </c>
      <c r="N204" s="6" t="n">
        <v>0</v>
      </c>
      <c r="O204" s="6" t="n">
        <v>0</v>
      </c>
      <c r="P204" s="6" t="n">
        <v>794497224</v>
      </c>
      <c r="Q204" s="6" t="n">
        <v>-794497224</v>
      </c>
      <c r="R204" s="6">
        <f>L204+O204</f>
        <v/>
      </c>
      <c r="S204" s="6">
        <f>M204+P204</f>
        <v/>
      </c>
      <c r="T204" s="6">
        <f>N204+Q204</f>
        <v/>
      </c>
    </row>
    <row r="205">
      <c r="A205" s="4" t="inlineStr">
        <is>
          <t>INGRESOS ANTICIPADOS</t>
        </is>
      </c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</row>
    <row r="206">
      <c r="A206" s="6" t="inlineStr">
        <is>
          <t>221411</t>
        </is>
      </c>
      <c r="B206" s="6" t="inlineStr">
        <is>
          <t>Ingresos Anticipados x Promesas</t>
        </is>
      </c>
      <c r="C206" s="6" t="n">
        <v>0</v>
      </c>
      <c r="D206" s="6" t="n">
        <v>161662.15</v>
      </c>
      <c r="E206" s="6" t="n">
        <v>-161662.15</v>
      </c>
      <c r="F206" s="6" t="n">
        <v>0</v>
      </c>
      <c r="G206" s="6" t="n">
        <v>0</v>
      </c>
      <c r="H206" s="6" t="n">
        <v>0</v>
      </c>
      <c r="I206" s="6">
        <f>C206+F206</f>
        <v/>
      </c>
      <c r="J206" s="6">
        <f>D206+G206</f>
        <v/>
      </c>
      <c r="K206" s="6">
        <f>E206+H206</f>
        <v/>
      </c>
      <c r="L206" s="6" t="n">
        <v>0</v>
      </c>
      <c r="M206" s="6" t="n">
        <v>6473936702</v>
      </c>
      <c r="N206" s="6" t="n">
        <v>-6473936702</v>
      </c>
      <c r="O206" s="6" t="n">
        <v>0</v>
      </c>
      <c r="P206" s="6" t="n">
        <v>0</v>
      </c>
      <c r="Q206" s="6" t="n">
        <v>0</v>
      </c>
      <c r="R206" s="6">
        <f>L206+O206</f>
        <v/>
      </c>
      <c r="S206" s="6">
        <f>M206+P206</f>
        <v/>
      </c>
      <c r="T206" s="6">
        <f>N206+Q206</f>
        <v/>
      </c>
    </row>
    <row r="207">
      <c r="A207" s="4" t="inlineStr">
        <is>
          <t>PATRIMONIO</t>
        </is>
      </c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</row>
    <row r="208">
      <c r="A208" s="6" t="inlineStr">
        <is>
          <t>230111</t>
        </is>
      </c>
      <c r="B208" s="6" t="inlineStr">
        <is>
          <t>Capital Pagado</t>
        </is>
      </c>
      <c r="C208" s="6" t="n">
        <v>0</v>
      </c>
      <c r="D208" s="6" t="n">
        <v>35.78</v>
      </c>
      <c r="E208" s="6" t="n">
        <v>-35.78</v>
      </c>
      <c r="F208" s="6" t="n">
        <v>0</v>
      </c>
      <c r="G208" s="6" t="n">
        <v>70.56999999999999</v>
      </c>
      <c r="H208" s="6" t="n">
        <v>-70.56999999999999</v>
      </c>
      <c r="I208" s="6">
        <f>C208+F208</f>
        <v/>
      </c>
      <c r="J208" s="6">
        <f>D208+G208</f>
        <v/>
      </c>
      <c r="K208" s="6">
        <f>E208+H208</f>
        <v/>
      </c>
      <c r="L208" s="6" t="n">
        <v>0</v>
      </c>
      <c r="M208" s="6" t="n">
        <v>1421517</v>
      </c>
      <c r="N208" s="6" t="n">
        <v>-1421517</v>
      </c>
      <c r="O208" s="6" t="n">
        <v>0</v>
      </c>
      <c r="P208" s="6" t="n">
        <v>2803782</v>
      </c>
      <c r="Q208" s="6" t="n">
        <v>-2803782</v>
      </c>
      <c r="R208" s="6">
        <f>L208+O208</f>
        <v/>
      </c>
      <c r="S208" s="6">
        <f>M208+P208</f>
        <v/>
      </c>
      <c r="T208" s="6">
        <f>N208+Q208</f>
        <v/>
      </c>
    </row>
    <row r="209" hidden="1">
      <c r="A209" s="7" t="inlineStr">
        <is>
          <t>230112</t>
        </is>
      </c>
      <c r="B209" s="7" t="inlineStr">
        <is>
          <t>Acciones</t>
        </is>
      </c>
      <c r="C209" s="7" t="n">
        <v>0</v>
      </c>
      <c r="D209" s="7" t="n">
        <v>0</v>
      </c>
      <c r="E209" s="7" t="n">
        <v>0</v>
      </c>
      <c r="F209" s="7" t="n">
        <v>0</v>
      </c>
      <c r="G209" s="7" t="n">
        <v>0</v>
      </c>
      <c r="H209" s="7" t="n">
        <v>0</v>
      </c>
      <c r="I209" s="7">
        <f>C209+F209</f>
        <v/>
      </c>
      <c r="J209" s="7">
        <f>D209+G209</f>
        <v/>
      </c>
      <c r="K209" s="7">
        <f>E209+H209</f>
        <v/>
      </c>
      <c r="L209" s="7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>
        <f>L209+O209</f>
        <v/>
      </c>
      <c r="S209" s="7">
        <f>M209+P209</f>
        <v/>
      </c>
      <c r="T209" s="7">
        <f>N209+Q209</f>
        <v/>
      </c>
    </row>
    <row r="210" hidden="1">
      <c r="A210" s="7" t="inlineStr">
        <is>
          <t>230113</t>
        </is>
      </c>
      <c r="B210" s="7" t="inlineStr">
        <is>
          <t>Accionistas</t>
        </is>
      </c>
      <c r="C210" s="7" t="n">
        <v>0</v>
      </c>
      <c r="D210" s="7" t="n">
        <v>0</v>
      </c>
      <c r="E210" s="7" t="n">
        <v>0</v>
      </c>
      <c r="F210" s="7" t="n">
        <v>0</v>
      </c>
      <c r="G210" s="7" t="n">
        <v>0</v>
      </c>
      <c r="H210" s="7" t="n">
        <v>0</v>
      </c>
      <c r="I210" s="7">
        <f>C210+F210</f>
        <v/>
      </c>
      <c r="J210" s="7">
        <f>D210+G210</f>
        <v/>
      </c>
      <c r="K210" s="7">
        <f>E210+H210</f>
        <v/>
      </c>
      <c r="L210" s="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>
        <f>L210+O210</f>
        <v/>
      </c>
      <c r="S210" s="7">
        <f>M210+P210</f>
        <v/>
      </c>
      <c r="T210" s="7">
        <f>N210+Q210</f>
        <v/>
      </c>
    </row>
    <row r="211" hidden="1">
      <c r="A211" s="7" t="inlineStr">
        <is>
          <t>230121</t>
        </is>
      </c>
      <c r="B211" s="7" t="inlineStr">
        <is>
          <t>Revalorizacion Capital Propio</t>
        </is>
      </c>
      <c r="C211" s="7" t="n">
        <v>0</v>
      </c>
      <c r="D211" s="7" t="n">
        <v>0</v>
      </c>
      <c r="E211" s="7" t="n">
        <v>0</v>
      </c>
      <c r="F211" s="7" t="n">
        <v>0</v>
      </c>
      <c r="G211" s="7" t="n">
        <v>0</v>
      </c>
      <c r="H211" s="7" t="n">
        <v>0</v>
      </c>
      <c r="I211" s="7">
        <f>C211+F211</f>
        <v/>
      </c>
      <c r="J211" s="7">
        <f>D211+G211</f>
        <v/>
      </c>
      <c r="K211" s="7">
        <f>E211+H211</f>
        <v/>
      </c>
      <c r="L211" s="7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>
        <f>L211+O211</f>
        <v/>
      </c>
      <c r="S211" s="7">
        <f>M211+P211</f>
        <v/>
      </c>
      <c r="T211" s="7">
        <f>N211+Q211</f>
        <v/>
      </c>
    </row>
    <row r="212" hidden="1">
      <c r="A212" s="7" t="inlineStr">
        <is>
          <t>230611</t>
        </is>
      </c>
      <c r="B212" s="7" t="inlineStr">
        <is>
          <t>Dividendos Provisorios</t>
        </is>
      </c>
      <c r="C212" s="7" t="n">
        <v>0</v>
      </c>
      <c r="D212" s="7" t="n">
        <v>0</v>
      </c>
      <c r="E212" s="7" t="n">
        <v>0</v>
      </c>
      <c r="F212" s="7" t="n">
        <v>0</v>
      </c>
      <c r="G212" s="7" t="n">
        <v>0</v>
      </c>
      <c r="H212" s="7" t="n">
        <v>0</v>
      </c>
      <c r="I212" s="7">
        <f>C212+F212</f>
        <v/>
      </c>
      <c r="J212" s="7">
        <f>D212+G212</f>
        <v/>
      </c>
      <c r="K212" s="7">
        <f>E212+H212</f>
        <v/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>
        <f>L212+O212</f>
        <v/>
      </c>
      <c r="S212" s="7">
        <f>M212+P212</f>
        <v/>
      </c>
      <c r="T212" s="7">
        <f>N212+Q212</f>
        <v/>
      </c>
    </row>
    <row r="213" hidden="1">
      <c r="A213" s="7" t="inlineStr">
        <is>
          <t>230117</t>
        </is>
      </c>
      <c r="B213" s="7" t="inlineStr">
        <is>
          <t>Dividendos Pagados</t>
        </is>
      </c>
      <c r="C213" s="7" t="n">
        <v>0</v>
      </c>
      <c r="D213" s="7" t="n">
        <v>0</v>
      </c>
      <c r="E213" s="7" t="n">
        <v>0</v>
      </c>
      <c r="F213" s="7" t="n">
        <v>0</v>
      </c>
      <c r="G213" s="7" t="n">
        <v>0</v>
      </c>
      <c r="H213" s="7" t="n">
        <v>0</v>
      </c>
      <c r="I213" s="7">
        <f>C213+F213</f>
        <v/>
      </c>
      <c r="J213" s="7">
        <f>D213+G213</f>
        <v/>
      </c>
      <c r="K213" s="7">
        <f>E213+H213</f>
        <v/>
      </c>
      <c r="L213" s="7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>
        <f>L213+O213</f>
        <v/>
      </c>
      <c r="S213" s="7">
        <f>M213+P213</f>
        <v/>
      </c>
      <c r="T213" s="7">
        <f>N213+Q213</f>
        <v/>
      </c>
    </row>
    <row r="214" hidden="1">
      <c r="A214" s="7" t="inlineStr">
        <is>
          <t>230688</t>
        </is>
      </c>
      <c r="B214" s="7" t="inlineStr">
        <is>
          <t>Utilidades Devengadas Extranjero</t>
        </is>
      </c>
      <c r="C214" s="7" t="n">
        <v>0</v>
      </c>
      <c r="D214" s="7" t="n">
        <v>0</v>
      </c>
      <c r="E214" s="7" t="n">
        <v>0</v>
      </c>
      <c r="F214" s="7" t="n">
        <v>0</v>
      </c>
      <c r="G214" s="7" t="n">
        <v>0</v>
      </c>
      <c r="H214" s="7" t="n">
        <v>0</v>
      </c>
      <c r="I214" s="7">
        <f>C214+F214</f>
        <v/>
      </c>
      <c r="J214" s="7">
        <f>D214+G214</f>
        <v/>
      </c>
      <c r="K214" s="7">
        <f>E214+H214</f>
        <v/>
      </c>
      <c r="L214" s="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>
        <f>L214+O214</f>
        <v/>
      </c>
      <c r="S214" s="7">
        <f>M214+P214</f>
        <v/>
      </c>
      <c r="T214" s="7">
        <f>N214+Q214</f>
        <v/>
      </c>
    </row>
    <row r="215">
      <c r="A215" s="6" t="inlineStr">
        <is>
          <t>230689</t>
        </is>
      </c>
      <c r="B215" s="6" t="inlineStr">
        <is>
          <t>Utilidades Acumuladas</t>
        </is>
      </c>
      <c r="C215" s="6" t="n">
        <v>0</v>
      </c>
      <c r="D215" s="6" t="n">
        <v>6545.51</v>
      </c>
      <c r="E215" s="6" t="n">
        <v>-6545.51</v>
      </c>
      <c r="F215" s="6" t="n">
        <v>0</v>
      </c>
      <c r="G215" s="6" t="n">
        <v>0</v>
      </c>
      <c r="H215" s="6" t="n">
        <v>0</v>
      </c>
      <c r="I215" s="6">
        <f>C215+F215</f>
        <v/>
      </c>
      <c r="J215" s="6">
        <f>D215+G215</f>
        <v/>
      </c>
      <c r="K215" s="6">
        <f>E215+H215</f>
        <v/>
      </c>
      <c r="L215" s="6" t="n">
        <v>0</v>
      </c>
      <c r="M215" s="6" t="n">
        <v>260515719</v>
      </c>
      <c r="N215" s="6" t="n">
        <v>-260515719</v>
      </c>
      <c r="O215" s="6" t="n">
        <v>0</v>
      </c>
      <c r="P215" s="6" t="n">
        <v>0</v>
      </c>
      <c r="Q215" s="6" t="n">
        <v>0</v>
      </c>
      <c r="R215" s="6">
        <f>L215+O215</f>
        <v/>
      </c>
      <c r="S215" s="6">
        <f>M215+P215</f>
        <v/>
      </c>
      <c r="T215" s="6">
        <f>N215+Q215</f>
        <v/>
      </c>
    </row>
    <row r="216">
      <c r="A216" s="6" t="inlineStr">
        <is>
          <t>230690</t>
        </is>
      </c>
      <c r="B216" s="6" t="inlineStr">
        <is>
          <t>Perdidas Acumuladas</t>
        </is>
      </c>
      <c r="C216" s="6" t="n">
        <v>0</v>
      </c>
      <c r="D216" s="6" t="n">
        <v>0</v>
      </c>
      <c r="E216" s="6" t="n">
        <v>0</v>
      </c>
      <c r="F216" s="6" t="n">
        <v>20496.76</v>
      </c>
      <c r="G216" s="6" t="n">
        <v>0</v>
      </c>
      <c r="H216" s="6" t="n">
        <v>20496.76</v>
      </c>
      <c r="I216" s="6">
        <f>C216+F216</f>
        <v/>
      </c>
      <c r="J216" s="6">
        <f>D216+G216</f>
        <v/>
      </c>
      <c r="K216" s="6">
        <f>E216+H216</f>
        <v/>
      </c>
      <c r="L216" s="6" t="n">
        <v>0</v>
      </c>
      <c r="M216" s="6" t="n">
        <v>0</v>
      </c>
      <c r="N216" s="6" t="n">
        <v>0</v>
      </c>
      <c r="O216" s="6" t="n">
        <v>814294126</v>
      </c>
      <c r="P216" s="6" t="n">
        <v>0</v>
      </c>
      <c r="Q216" s="6" t="n">
        <v>814294126</v>
      </c>
      <c r="R216" s="6">
        <f>L216+O216</f>
        <v/>
      </c>
      <c r="S216" s="6">
        <f>M216+P216</f>
        <v/>
      </c>
      <c r="T216" s="6">
        <f>N216+Q216</f>
        <v/>
      </c>
    </row>
    <row r="217">
      <c r="A217" s="6" t="inlineStr">
        <is>
          <t>230691</t>
        </is>
      </c>
      <c r="B217" s="6" t="inlineStr">
        <is>
          <t>Perdidas y Ganancias</t>
        </is>
      </c>
      <c r="C217" s="6" t="n">
        <v>416.45</v>
      </c>
      <c r="D217" s="6" t="n">
        <v>416.45</v>
      </c>
      <c r="E217" s="6" t="n">
        <v>0</v>
      </c>
      <c r="F217" s="6" t="n">
        <v>987.77</v>
      </c>
      <c r="G217" s="6" t="n">
        <v>987.77</v>
      </c>
      <c r="H217" s="6" t="n">
        <v>0</v>
      </c>
      <c r="I217" s="6">
        <f>C217+F217</f>
        <v/>
      </c>
      <c r="J217" s="6">
        <f>D217+G217</f>
        <v/>
      </c>
      <c r="K217" s="6">
        <f>E217+H217</f>
        <v/>
      </c>
      <c r="L217" s="6" t="n">
        <v>17020648</v>
      </c>
      <c r="M217" s="6" t="n">
        <v>17020648</v>
      </c>
      <c r="N217" s="6" t="n">
        <v>0</v>
      </c>
      <c r="O217" s="6" t="n">
        <v>39241675</v>
      </c>
      <c r="P217" s="6" t="n">
        <v>39241675</v>
      </c>
      <c r="Q217" s="6" t="n">
        <v>0</v>
      </c>
      <c r="R217" s="6">
        <f>L217+O217</f>
        <v/>
      </c>
      <c r="S217" s="6">
        <f>M217+P217</f>
        <v/>
      </c>
      <c r="T217" s="6">
        <f>N217+Q217</f>
        <v/>
      </c>
    </row>
    <row r="218" ht="18" customHeight="1">
      <c r="A218" s="1" t="inlineStr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</row>
    <row r="219">
      <c r="A219" s="4" t="inlineStr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</row>
    <row r="220" ht="18" customHeight="1">
      <c r="A220" s="1" t="inlineStr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</row>
    <row r="221">
      <c r="A221" s="4" t="inlineStr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</row>
    <row r="222" ht="18" customHeight="1">
      <c r="A222" s="1" t="inlineStr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</row>
    <row r="223">
      <c r="A223" s="4" t="inlineStr">
        <is>
          <t>INGRESOS DE LA EXPLOTACION</t>
        </is>
      </c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</row>
    <row r="224" hidden="1">
      <c r="A224" s="7" t="inlineStr">
        <is>
          <t>310112</t>
        </is>
      </c>
      <c r="B224" s="7" t="inlineStr">
        <is>
          <t>Ventas de Oficinas / Arriendos Percibidos</t>
        </is>
      </c>
      <c r="C224" s="7" t="n">
        <v>0</v>
      </c>
      <c r="D224" s="7" t="n">
        <v>0</v>
      </c>
      <c r="E224" s="7" t="n">
        <v>0</v>
      </c>
      <c r="F224" s="7" t="n">
        <v>0</v>
      </c>
      <c r="G224" s="7" t="n">
        <v>0</v>
      </c>
      <c r="H224" s="7" t="n">
        <v>0</v>
      </c>
      <c r="I224" s="7">
        <f>C224+F224</f>
        <v/>
      </c>
      <c r="J224" s="7">
        <f>D224+G224</f>
        <v/>
      </c>
      <c r="K224" s="7">
        <f>E224+H224</f>
        <v/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>
        <f>L224+O224</f>
        <v/>
      </c>
      <c r="S224" s="7">
        <f>M224+P224</f>
        <v/>
      </c>
      <c r="T224" s="7">
        <f>N224+Q224</f>
        <v/>
      </c>
    </row>
    <row r="225" hidden="1">
      <c r="A225" s="7" t="inlineStr">
        <is>
          <t>310115</t>
        </is>
      </c>
      <c r="B225" s="7" t="inlineStr">
        <is>
          <t>Ventas de Estacionamientos</t>
        </is>
      </c>
      <c r="C225" s="7" t="n">
        <v>0</v>
      </c>
      <c r="D225" s="7" t="n">
        <v>0</v>
      </c>
      <c r="E225" s="7" t="n">
        <v>0</v>
      </c>
      <c r="F225" s="7" t="n">
        <v>0</v>
      </c>
      <c r="G225" s="7" t="n">
        <v>0</v>
      </c>
      <c r="H225" s="7" t="n">
        <v>0</v>
      </c>
      <c r="I225" s="7">
        <f>C225+F225</f>
        <v/>
      </c>
      <c r="J225" s="7">
        <f>D225+G225</f>
        <v/>
      </c>
      <c r="K225" s="7">
        <f>E225+H225</f>
        <v/>
      </c>
      <c r="L225" s="7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>
        <f>L225+O225</f>
        <v/>
      </c>
      <c r="S225" s="7">
        <f>M225+P225</f>
        <v/>
      </c>
      <c r="T225" s="7">
        <f>N225+Q225</f>
        <v/>
      </c>
    </row>
    <row r="226" hidden="1">
      <c r="A226" s="7" t="inlineStr">
        <is>
          <t>310116</t>
        </is>
      </c>
      <c r="B226" s="7" t="inlineStr">
        <is>
          <t>Ventas de Locales Comerciales</t>
        </is>
      </c>
      <c r="C226" s="7" t="n">
        <v>0</v>
      </c>
      <c r="D226" s="7" t="n">
        <v>0</v>
      </c>
      <c r="E226" s="7" t="n">
        <v>0</v>
      </c>
      <c r="F226" s="7" t="n">
        <v>0</v>
      </c>
      <c r="G226" s="7" t="n">
        <v>0</v>
      </c>
      <c r="H226" s="7" t="n">
        <v>0</v>
      </c>
      <c r="I226" s="7">
        <f>C226+F226</f>
        <v/>
      </c>
      <c r="J226" s="7">
        <f>D226+G226</f>
        <v/>
      </c>
      <c r="K226" s="7">
        <f>E226+H226</f>
        <v/>
      </c>
      <c r="L226" s="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>
        <f>L226+O226</f>
        <v/>
      </c>
      <c r="S226" s="7">
        <f>M226+P226</f>
        <v/>
      </c>
      <c r="T226" s="7">
        <f>N226+Q226</f>
        <v/>
      </c>
    </row>
    <row r="227" hidden="1">
      <c r="A227" s="7" t="inlineStr">
        <is>
          <t>310117</t>
        </is>
      </c>
      <c r="B227" s="7" t="inlineStr">
        <is>
          <t>Ventas de Mix Otros Inmuebles</t>
        </is>
      </c>
      <c r="C227" s="7" t="n">
        <v>0</v>
      </c>
      <c r="D227" s="7" t="n">
        <v>0</v>
      </c>
      <c r="E227" s="7" t="n">
        <v>0</v>
      </c>
      <c r="F227" s="7" t="n">
        <v>0</v>
      </c>
      <c r="G227" s="7" t="n">
        <v>0</v>
      </c>
      <c r="H227" s="7" t="n">
        <v>0</v>
      </c>
      <c r="I227" s="7">
        <f>C227+F227</f>
        <v/>
      </c>
      <c r="J227" s="7">
        <f>D227+G227</f>
        <v/>
      </c>
      <c r="K227" s="7">
        <f>E227+H227</f>
        <v/>
      </c>
      <c r="L227" s="7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>
        <f>L227+O227</f>
        <v/>
      </c>
      <c r="S227" s="7">
        <f>M227+P227</f>
        <v/>
      </c>
      <c r="T227" s="7">
        <f>N227+Q227</f>
        <v/>
      </c>
    </row>
    <row r="228" hidden="1">
      <c r="A228" s="7" t="inlineStr">
        <is>
          <t>310119</t>
        </is>
      </c>
      <c r="B228" s="7" t="inlineStr">
        <is>
          <t>Arriendo Oficinas</t>
        </is>
      </c>
      <c r="C228" s="7" t="n">
        <v>0</v>
      </c>
      <c r="D228" s="7" t="n">
        <v>0</v>
      </c>
      <c r="E228" s="7" t="n">
        <v>0</v>
      </c>
      <c r="F228" s="7" t="n">
        <v>0</v>
      </c>
      <c r="G228" s="7" t="n">
        <v>0</v>
      </c>
      <c r="H228" s="7" t="n">
        <v>0</v>
      </c>
      <c r="I228" s="7">
        <f>C228+F228</f>
        <v/>
      </c>
      <c r="J228" s="7">
        <f>D228+G228</f>
        <v/>
      </c>
      <c r="K228" s="7">
        <f>E228+H228</f>
        <v/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>
        <f>L228+O228</f>
        <v/>
      </c>
      <c r="S228" s="7">
        <f>M228+P228</f>
        <v/>
      </c>
      <c r="T228" s="7">
        <f>N228+Q228</f>
        <v/>
      </c>
    </row>
    <row r="229" hidden="1">
      <c r="A229" s="7" t="inlineStr">
        <is>
          <t>310121</t>
        </is>
      </c>
      <c r="B229" s="7" t="inlineStr">
        <is>
          <t>Arriendo Bodegas</t>
        </is>
      </c>
      <c r="C229" s="7" t="n">
        <v>0</v>
      </c>
      <c r="D229" s="7" t="n">
        <v>0</v>
      </c>
      <c r="E229" s="7" t="n">
        <v>0</v>
      </c>
      <c r="F229" s="7" t="n">
        <v>0</v>
      </c>
      <c r="G229" s="7" t="n">
        <v>0</v>
      </c>
      <c r="H229" s="7" t="n">
        <v>0</v>
      </c>
      <c r="I229" s="7">
        <f>C229+F229</f>
        <v/>
      </c>
      <c r="J229" s="7">
        <f>D229+G229</f>
        <v/>
      </c>
      <c r="K229" s="7">
        <f>E229+H229</f>
        <v/>
      </c>
      <c r="L229" s="7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>
        <f>L229+O229</f>
        <v/>
      </c>
      <c r="S229" s="7">
        <f>M229+P229</f>
        <v/>
      </c>
      <c r="T229" s="7">
        <f>N229+Q229</f>
        <v/>
      </c>
    </row>
    <row r="230" hidden="1">
      <c r="A230" s="7" t="inlineStr">
        <is>
          <t>310122</t>
        </is>
      </c>
      <c r="B230" s="7" t="inlineStr">
        <is>
          <t>Arriendo Estacionamientos</t>
        </is>
      </c>
      <c r="C230" s="7" t="n">
        <v>0</v>
      </c>
      <c r="D230" s="7" t="n">
        <v>0</v>
      </c>
      <c r="E230" s="7" t="n">
        <v>0</v>
      </c>
      <c r="F230" s="7" t="n">
        <v>0</v>
      </c>
      <c r="G230" s="7" t="n">
        <v>0</v>
      </c>
      <c r="H230" s="7" t="n">
        <v>0</v>
      </c>
      <c r="I230" s="7">
        <f>C230+F230</f>
        <v/>
      </c>
      <c r="J230" s="7">
        <f>D230+G230</f>
        <v/>
      </c>
      <c r="K230" s="7">
        <f>E230+H230</f>
        <v/>
      </c>
      <c r="L230" s="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>
        <f>L230+O230</f>
        <v/>
      </c>
      <c r="S230" s="7">
        <f>M230+P230</f>
        <v/>
      </c>
      <c r="T230" s="7">
        <f>N230+Q230</f>
        <v/>
      </c>
    </row>
    <row r="231" hidden="1">
      <c r="A231" s="7" t="inlineStr">
        <is>
          <t>310123</t>
        </is>
      </c>
      <c r="B231" s="7" t="inlineStr">
        <is>
          <t>Arriendo Locales Comerciales</t>
        </is>
      </c>
      <c r="C231" s="7" t="n">
        <v>0</v>
      </c>
      <c r="D231" s="7" t="n">
        <v>0</v>
      </c>
      <c r="E231" s="7" t="n">
        <v>0</v>
      </c>
      <c r="F231" s="7" t="n">
        <v>0</v>
      </c>
      <c r="G231" s="7" t="n">
        <v>0</v>
      </c>
      <c r="H231" s="7" t="n">
        <v>0</v>
      </c>
      <c r="I231" s="7">
        <f>C231+F231</f>
        <v/>
      </c>
      <c r="J231" s="7">
        <f>D231+G231</f>
        <v/>
      </c>
      <c r="K231" s="7">
        <f>E231+H231</f>
        <v/>
      </c>
      <c r="L231" s="7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>
        <f>L231+O231</f>
        <v/>
      </c>
      <c r="S231" s="7">
        <f>M231+P231</f>
        <v/>
      </c>
      <c r="T231" s="7">
        <f>N231+Q231</f>
        <v/>
      </c>
    </row>
    <row r="232">
      <c r="A232" s="6" t="inlineStr">
        <is>
          <t>320112</t>
        </is>
      </c>
      <c r="B232" s="6" t="inlineStr">
        <is>
          <t>Int. Ganado x Inv. en Fdo Mutuos</t>
        </is>
      </c>
      <c r="C232" s="6" t="n">
        <v>0</v>
      </c>
      <c r="D232" s="6" t="n">
        <v>96.06999999999999</v>
      </c>
      <c r="E232" s="6" t="n">
        <v>-96.06999999999999</v>
      </c>
      <c r="F232" s="6" t="n">
        <v>0</v>
      </c>
      <c r="G232" s="6" t="n">
        <v>0</v>
      </c>
      <c r="H232" s="6" t="n">
        <v>0</v>
      </c>
      <c r="I232" s="6">
        <f>C232+F232</f>
        <v/>
      </c>
      <c r="J232" s="6">
        <f>D232+G232</f>
        <v/>
      </c>
      <c r="K232" s="6">
        <f>E232+H232</f>
        <v/>
      </c>
      <c r="L232" s="6" t="n">
        <v>0</v>
      </c>
      <c r="M232" s="6" t="n">
        <v>3874770</v>
      </c>
      <c r="N232" s="6" t="n">
        <v>-3874770</v>
      </c>
      <c r="O232" s="6" t="n">
        <v>0</v>
      </c>
      <c r="P232" s="6" t="n">
        <v>0</v>
      </c>
      <c r="Q232" s="6" t="n">
        <v>0</v>
      </c>
      <c r="R232" s="6">
        <f>L232+O232</f>
        <v/>
      </c>
      <c r="S232" s="6">
        <f>M232+P232</f>
        <v/>
      </c>
      <c r="T232" s="6">
        <f>N232+Q232</f>
        <v/>
      </c>
    </row>
    <row r="233" hidden="1">
      <c r="A233" s="7" t="inlineStr">
        <is>
          <t>320113</t>
        </is>
      </c>
      <c r="B233" s="7" t="inlineStr">
        <is>
          <t>Int. Ganado Inv. en Depto a Plazo</t>
        </is>
      </c>
      <c r="C233" s="7" t="n">
        <v>0</v>
      </c>
      <c r="D233" s="7" t="n">
        <v>0</v>
      </c>
      <c r="E233" s="7" t="n">
        <v>0</v>
      </c>
      <c r="F233" s="7" t="n">
        <v>0</v>
      </c>
      <c r="G233" s="7" t="n">
        <v>0</v>
      </c>
      <c r="H233" s="7" t="n">
        <v>0</v>
      </c>
      <c r="I233" s="7">
        <f>C233+F233</f>
        <v/>
      </c>
      <c r="J233" s="7">
        <f>D233+G233</f>
        <v/>
      </c>
      <c r="K233" s="7">
        <f>E233+H233</f>
        <v/>
      </c>
      <c r="L233" s="7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>
        <f>L233+O233</f>
        <v/>
      </c>
      <c r="S233" s="7">
        <f>M233+P233</f>
        <v/>
      </c>
      <c r="T233" s="7">
        <f>N233+Q233</f>
        <v/>
      </c>
    </row>
    <row r="234">
      <c r="A234" s="6" t="inlineStr">
        <is>
          <t>320114</t>
        </is>
      </c>
      <c r="B234" s="6" t="inlineStr">
        <is>
          <t>Reajuste Credito Fiscal</t>
        </is>
      </c>
      <c r="C234" s="6" t="n">
        <v>83.43000000000001</v>
      </c>
      <c r="D234" s="6" t="n">
        <v>1433.17</v>
      </c>
      <c r="E234" s="6" t="n">
        <v>-1349.74</v>
      </c>
      <c r="F234" s="6" t="n">
        <v>0</v>
      </c>
      <c r="G234" s="6" t="n">
        <v>0</v>
      </c>
      <c r="H234" s="6" t="n">
        <v>0</v>
      </c>
      <c r="I234" s="6">
        <f>C234+F234</f>
        <v/>
      </c>
      <c r="J234" s="6">
        <f>D234+G234</f>
        <v/>
      </c>
      <c r="K234" s="6">
        <f>E234+H234</f>
        <v/>
      </c>
      <c r="L234" s="6" t="n">
        <v>3312853</v>
      </c>
      <c r="M234" s="6" t="n">
        <v>57865912</v>
      </c>
      <c r="N234" s="6" t="n">
        <v>-54553059</v>
      </c>
      <c r="O234" s="6" t="n">
        <v>0</v>
      </c>
      <c r="P234" s="6" t="n">
        <v>0</v>
      </c>
      <c r="Q234" s="6" t="n">
        <v>0</v>
      </c>
      <c r="R234" s="6">
        <f>L234+O234</f>
        <v/>
      </c>
      <c r="S234" s="6">
        <f>M234+P234</f>
        <v/>
      </c>
      <c r="T234" s="6">
        <f>N234+Q234</f>
        <v/>
      </c>
    </row>
    <row r="235" hidden="1">
      <c r="A235" s="7" t="inlineStr">
        <is>
          <t>320115</t>
        </is>
      </c>
      <c r="B235" s="7" t="inlineStr">
        <is>
          <t>Reajustes Ganados</t>
        </is>
      </c>
      <c r="C235" s="7" t="n">
        <v>0</v>
      </c>
      <c r="D235" s="7" t="n">
        <v>0</v>
      </c>
      <c r="E235" s="7" t="n">
        <v>0</v>
      </c>
      <c r="F235" s="7" t="n">
        <v>0</v>
      </c>
      <c r="G235" s="7" t="n">
        <v>0</v>
      </c>
      <c r="H235" s="7" t="n">
        <v>0</v>
      </c>
      <c r="I235" s="7">
        <f>C235+F235</f>
        <v/>
      </c>
      <c r="J235" s="7">
        <f>D235+G235</f>
        <v/>
      </c>
      <c r="K235" s="7">
        <f>E235+H235</f>
        <v/>
      </c>
      <c r="L235" s="7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>
        <f>L235+O235</f>
        <v/>
      </c>
      <c r="S235" s="7">
        <f>M235+P235</f>
        <v/>
      </c>
      <c r="T235" s="7">
        <f>N235+Q235</f>
        <v/>
      </c>
    </row>
    <row r="236" hidden="1">
      <c r="A236" s="7" t="inlineStr">
        <is>
          <t>320432</t>
        </is>
      </c>
      <c r="B236" s="7" t="inlineStr">
        <is>
          <t>Recuperacion de Gastos</t>
        </is>
      </c>
      <c r="C236" s="7" t="n">
        <v>0</v>
      </c>
      <c r="D236" s="7" t="n">
        <v>0</v>
      </c>
      <c r="E236" s="7" t="n">
        <v>0</v>
      </c>
      <c r="F236" s="7" t="n">
        <v>0</v>
      </c>
      <c r="G236" s="7" t="n">
        <v>0</v>
      </c>
      <c r="H236" s="7" t="n">
        <v>0</v>
      </c>
      <c r="I236" s="7">
        <f>C236+F236</f>
        <v/>
      </c>
      <c r="J236" s="7">
        <f>D236+G236</f>
        <v/>
      </c>
      <c r="K236" s="7">
        <f>E236+H236</f>
        <v/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>
        <f>L236+O236</f>
        <v/>
      </c>
      <c r="S236" s="7">
        <f>M236+P236</f>
        <v/>
      </c>
      <c r="T236" s="7">
        <f>N236+Q236</f>
        <v/>
      </c>
    </row>
    <row r="237" hidden="1">
      <c r="A237" s="7" t="inlineStr">
        <is>
          <t>320434</t>
        </is>
      </c>
      <c r="B237" s="7" t="inlineStr">
        <is>
          <t>Otros Ingresos</t>
        </is>
      </c>
      <c r="C237" s="7" t="n">
        <v>0</v>
      </c>
      <c r="D237" s="7" t="n">
        <v>0</v>
      </c>
      <c r="E237" s="7" t="n">
        <v>0</v>
      </c>
      <c r="F237" s="7" t="n">
        <v>0</v>
      </c>
      <c r="G237" s="7" t="n">
        <v>0</v>
      </c>
      <c r="H237" s="7" t="n">
        <v>0</v>
      </c>
      <c r="I237" s="7">
        <f>C237+F237</f>
        <v/>
      </c>
      <c r="J237" s="7">
        <f>D237+G237</f>
        <v/>
      </c>
      <c r="K237" s="7">
        <f>E237+H237</f>
        <v/>
      </c>
      <c r="L237" s="7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>
        <f>L237+O237</f>
        <v/>
      </c>
      <c r="S237" s="7">
        <f>M237+P237</f>
        <v/>
      </c>
      <c r="T237" s="7">
        <f>N237+Q237</f>
        <v/>
      </c>
    </row>
    <row r="238" hidden="1">
      <c r="A238" s="7" t="inlineStr">
        <is>
          <t>320511</t>
        </is>
      </c>
      <c r="B238" s="7" t="inlineStr">
        <is>
          <t>CCMM S/. Activos no Monetarios</t>
        </is>
      </c>
      <c r="C238" s="7" t="n">
        <v>0</v>
      </c>
      <c r="D238" s="7" t="n">
        <v>0</v>
      </c>
      <c r="E238" s="7" t="n">
        <v>0</v>
      </c>
      <c r="F238" s="7" t="n">
        <v>0</v>
      </c>
      <c r="G238" s="7" t="n">
        <v>0</v>
      </c>
      <c r="H238" s="7" t="n">
        <v>0</v>
      </c>
      <c r="I238" s="7">
        <f>C238+F238</f>
        <v/>
      </c>
      <c r="J238" s="7">
        <f>D238+G238</f>
        <v/>
      </c>
      <c r="K238" s="7">
        <f>E238+H238</f>
        <v/>
      </c>
      <c r="L238" s="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>
        <f>L238+O238</f>
        <v/>
      </c>
      <c r="S238" s="7">
        <f>M238+P238</f>
        <v/>
      </c>
      <c r="T238" s="7">
        <f>N238+Q238</f>
        <v/>
      </c>
    </row>
    <row r="239">
      <c r="A239" s="4" t="inlineStr">
        <is>
          <t>COSTOS DE LA EXPLOTACION</t>
        </is>
      </c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</row>
    <row r="240" hidden="1">
      <c r="A240" s="7" t="inlineStr">
        <is>
          <t>410111</t>
        </is>
      </c>
      <c r="B240" s="7" t="inlineStr">
        <is>
          <t>Costos Venta de Inmuebles</t>
        </is>
      </c>
      <c r="C240" s="7" t="n">
        <v>0</v>
      </c>
      <c r="D240" s="7" t="n">
        <v>0</v>
      </c>
      <c r="E240" s="7" t="n">
        <v>0</v>
      </c>
      <c r="F240" s="7" t="n">
        <v>0</v>
      </c>
      <c r="G240" s="7" t="n">
        <v>0</v>
      </c>
      <c r="H240" s="7" t="n">
        <v>0</v>
      </c>
      <c r="I240" s="7">
        <f>C240+F240</f>
        <v/>
      </c>
      <c r="J240" s="7">
        <f>D240+G240</f>
        <v/>
      </c>
      <c r="K240" s="7">
        <f>E240+H240</f>
        <v/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>
        <f>L240+O240</f>
        <v/>
      </c>
      <c r="S240" s="7">
        <f>M240+P240</f>
        <v/>
      </c>
      <c r="T240" s="7">
        <f>N240+Q240</f>
        <v/>
      </c>
    </row>
    <row r="241" hidden="1">
      <c r="A241" s="7" t="inlineStr">
        <is>
          <t>410113</t>
        </is>
      </c>
      <c r="B241" s="7" t="inlineStr">
        <is>
          <t>Costo Corretaje</t>
        </is>
      </c>
      <c r="C241" s="7" t="n">
        <v>0</v>
      </c>
      <c r="D241" s="7" t="n">
        <v>0</v>
      </c>
      <c r="E241" s="7" t="n">
        <v>0</v>
      </c>
      <c r="F241" s="7" t="n">
        <v>0</v>
      </c>
      <c r="G241" s="7" t="n">
        <v>0</v>
      </c>
      <c r="H241" s="7" t="n">
        <v>0</v>
      </c>
      <c r="I241" s="7">
        <f>C241+F241</f>
        <v/>
      </c>
      <c r="J241" s="7">
        <f>D241+G241</f>
        <v/>
      </c>
      <c r="K241" s="7">
        <f>E241+H241</f>
        <v/>
      </c>
      <c r="L241" s="7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>
        <f>L241+O241</f>
        <v/>
      </c>
      <c r="S241" s="7">
        <f>M241+P241</f>
        <v/>
      </c>
      <c r="T241" s="7">
        <f>N241+Q241</f>
        <v/>
      </c>
    </row>
    <row r="242" hidden="1">
      <c r="A242" s="7" t="inlineStr">
        <is>
          <t>410312</t>
        </is>
      </c>
      <c r="B242" s="7" t="inlineStr">
        <is>
          <t>Avisaje en Prensa</t>
        </is>
      </c>
      <c r="C242" s="7" t="n">
        <v>0</v>
      </c>
      <c r="D242" s="7" t="n">
        <v>0</v>
      </c>
      <c r="E242" s="7" t="n">
        <v>0</v>
      </c>
      <c r="F242" s="7" t="n">
        <v>0</v>
      </c>
      <c r="G242" s="7" t="n">
        <v>0</v>
      </c>
      <c r="H242" s="7" t="n">
        <v>0</v>
      </c>
      <c r="I242" s="7">
        <f>C242+F242</f>
        <v/>
      </c>
      <c r="J242" s="7">
        <f>D242+G242</f>
        <v/>
      </c>
      <c r="K242" s="7">
        <f>E242+H242</f>
        <v/>
      </c>
      <c r="L242" s="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>
        <f>L242+O242</f>
        <v/>
      </c>
      <c r="S242" s="7">
        <f>M242+P242</f>
        <v/>
      </c>
      <c r="T242" s="7">
        <f>N242+Q242</f>
        <v/>
      </c>
    </row>
    <row r="243" hidden="1">
      <c r="A243" s="7" t="inlineStr">
        <is>
          <t>410316</t>
        </is>
      </c>
      <c r="B243" s="7" t="inlineStr">
        <is>
          <t>Publicidad en Medios</t>
        </is>
      </c>
      <c r="C243" s="7" t="n">
        <v>0</v>
      </c>
      <c r="D243" s="7" t="n">
        <v>0</v>
      </c>
      <c r="E243" s="7" t="n">
        <v>0</v>
      </c>
      <c r="F243" s="7" t="n">
        <v>0</v>
      </c>
      <c r="G243" s="7" t="n">
        <v>0</v>
      </c>
      <c r="H243" s="7" t="n">
        <v>0</v>
      </c>
      <c r="I243" s="7">
        <f>C243+F243</f>
        <v/>
      </c>
      <c r="J243" s="7">
        <f>D243+G243</f>
        <v/>
      </c>
      <c r="K243" s="7">
        <f>E243+H243</f>
        <v/>
      </c>
      <c r="L243" s="7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>
        <f>L243+O243</f>
        <v/>
      </c>
      <c r="S243" s="7">
        <f>M243+P243</f>
        <v/>
      </c>
      <c r="T243" s="7">
        <f>N243+Q243</f>
        <v/>
      </c>
    </row>
    <row r="244" hidden="1">
      <c r="A244" s="7" t="inlineStr">
        <is>
          <t>410429</t>
        </is>
      </c>
      <c r="B244" s="7" t="inlineStr">
        <is>
          <t>Gastos Comunes</t>
        </is>
      </c>
      <c r="C244" s="7" t="n">
        <v>0</v>
      </c>
      <c r="D244" s="7" t="n">
        <v>0</v>
      </c>
      <c r="E244" s="7" t="n">
        <v>0</v>
      </c>
      <c r="F244" s="7" t="n">
        <v>0</v>
      </c>
      <c r="G244" s="7" t="n">
        <v>0</v>
      </c>
      <c r="H244" s="7" t="n">
        <v>0</v>
      </c>
      <c r="I244" s="7">
        <f>C244+F244</f>
        <v/>
      </c>
      <c r="J244" s="7">
        <f>D244+G244</f>
        <v/>
      </c>
      <c r="K244" s="7">
        <f>E244+H244</f>
        <v/>
      </c>
      <c r="L244" s="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>
        <f>L244+O244</f>
        <v/>
      </c>
      <c r="S244" s="7">
        <f>M244+P244</f>
        <v/>
      </c>
      <c r="T244" s="7">
        <f>N244+Q244</f>
        <v/>
      </c>
    </row>
    <row r="245" hidden="1">
      <c r="A245" s="7" t="inlineStr">
        <is>
          <t>410431</t>
        </is>
      </c>
      <c r="B245" s="7" t="inlineStr">
        <is>
          <t>Consumo Electrico</t>
        </is>
      </c>
      <c r="C245" s="7" t="n">
        <v>0</v>
      </c>
      <c r="D245" s="7" t="n">
        <v>0</v>
      </c>
      <c r="E245" s="7" t="n">
        <v>0</v>
      </c>
      <c r="F245" s="7" t="n">
        <v>0</v>
      </c>
      <c r="G245" s="7" t="n">
        <v>0</v>
      </c>
      <c r="H245" s="7" t="n">
        <v>0</v>
      </c>
      <c r="I245" s="7">
        <f>C245+F245</f>
        <v/>
      </c>
      <c r="J245" s="7">
        <f>D245+G245</f>
        <v/>
      </c>
      <c r="K245" s="7">
        <f>E245+H245</f>
        <v/>
      </c>
      <c r="L245" s="7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>
        <f>L245+O245</f>
        <v/>
      </c>
      <c r="S245" s="7">
        <f>M245+P245</f>
        <v/>
      </c>
      <c r="T245" s="7">
        <f>N245+Q245</f>
        <v/>
      </c>
    </row>
    <row r="246" hidden="1">
      <c r="A246" s="7" t="inlineStr">
        <is>
          <t>410432</t>
        </is>
      </c>
      <c r="B246" s="7" t="inlineStr">
        <is>
          <t>Consumo de Agua / Asesoria Legal</t>
        </is>
      </c>
      <c r="C246" s="7" t="n">
        <v>0</v>
      </c>
      <c r="D246" s="7" t="n">
        <v>0</v>
      </c>
      <c r="E246" s="7" t="n">
        <v>0</v>
      </c>
      <c r="F246" s="7" t="n">
        <v>0</v>
      </c>
      <c r="G246" s="7" t="n">
        <v>0</v>
      </c>
      <c r="H246" s="7" t="n">
        <v>0</v>
      </c>
      <c r="I246" s="7">
        <f>C246+F246</f>
        <v/>
      </c>
      <c r="J246" s="7">
        <f>D246+G246</f>
        <v/>
      </c>
      <c r="K246" s="7">
        <f>E246+H246</f>
        <v/>
      </c>
      <c r="L246" s="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>
        <f>L246+O246</f>
        <v/>
      </c>
      <c r="S246" s="7">
        <f>M246+P246</f>
        <v/>
      </c>
      <c r="T246" s="7">
        <f>N246+Q246</f>
        <v/>
      </c>
    </row>
    <row r="247" hidden="1">
      <c r="A247" s="7" t="inlineStr">
        <is>
          <t>410434</t>
        </is>
      </c>
      <c r="B247" s="7" t="inlineStr">
        <is>
          <t>Servicio Telefonico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>
        <f>C247+F247</f>
        <v/>
      </c>
      <c r="J247" s="7">
        <f>D247+G247</f>
        <v/>
      </c>
      <c r="K247" s="7">
        <f>E247+H247</f>
        <v/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>
        <f>L247+O247</f>
        <v/>
      </c>
      <c r="S247" s="7">
        <f>M247+P247</f>
        <v/>
      </c>
      <c r="T247" s="7">
        <f>N247+Q247</f>
        <v/>
      </c>
    </row>
    <row r="248" hidden="1">
      <c r="A248" s="7" t="inlineStr">
        <is>
          <t>410439</t>
        </is>
      </c>
      <c r="B248" s="7" t="inlineStr">
        <is>
          <t>Transporte y Movilizacion</t>
        </is>
      </c>
      <c r="C248" s="7" t="n">
        <v>0</v>
      </c>
      <c r="D248" s="7" t="n">
        <v>0</v>
      </c>
      <c r="E248" s="7" t="n">
        <v>0</v>
      </c>
      <c r="F248" s="7" t="n">
        <v>0</v>
      </c>
      <c r="G248" s="7" t="n">
        <v>0</v>
      </c>
      <c r="H248" s="7" t="n">
        <v>0</v>
      </c>
      <c r="I248" s="7">
        <f>C248+F248</f>
        <v/>
      </c>
      <c r="J248" s="7">
        <f>D248+G248</f>
        <v/>
      </c>
      <c r="K248" s="7">
        <f>E248+H248</f>
        <v/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>
        <f>L248+O248</f>
        <v/>
      </c>
      <c r="S248" s="7">
        <f>M248+P248</f>
        <v/>
      </c>
      <c r="T248" s="7">
        <f>N248+Q248</f>
        <v/>
      </c>
    </row>
    <row r="249" hidden="1">
      <c r="A249" s="7" t="inlineStr">
        <is>
          <t>410440</t>
        </is>
      </c>
      <c r="B249" s="7" t="inlineStr">
        <is>
          <t>Correspondencia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>
        <f>C249+F249</f>
        <v/>
      </c>
      <c r="J249" s="7">
        <f>D249+G249</f>
        <v/>
      </c>
      <c r="K249" s="7">
        <f>E249+H249</f>
        <v/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>
        <f>L249+O249</f>
        <v/>
      </c>
      <c r="S249" s="7">
        <f>M249+P249</f>
        <v/>
      </c>
      <c r="T249" s="7">
        <f>N249+Q249</f>
        <v/>
      </c>
    </row>
    <row r="250" hidden="1">
      <c r="A250" s="7" t="inlineStr">
        <is>
          <t>410442</t>
        </is>
      </c>
      <c r="B250" s="7" t="inlineStr">
        <is>
          <t>Servicio de Aseo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>
        <f>C250+F250</f>
        <v/>
      </c>
      <c r="J250" s="7">
        <f>D250+G250</f>
        <v/>
      </c>
      <c r="K250" s="7">
        <f>E250+H250</f>
        <v/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>
        <f>L250+O250</f>
        <v/>
      </c>
      <c r="S250" s="7">
        <f>M250+P250</f>
        <v/>
      </c>
      <c r="T250" s="7">
        <f>N250+Q250</f>
        <v/>
      </c>
    </row>
    <row r="251">
      <c r="A251" s="6" t="inlineStr">
        <is>
          <t>410443</t>
        </is>
      </c>
      <c r="B251" s="6" t="inlineStr">
        <is>
          <t>Gastos Notariales</t>
        </is>
      </c>
      <c r="C251" s="6" t="n">
        <v>0</v>
      </c>
      <c r="D251" s="6" t="n">
        <v>0</v>
      </c>
      <c r="E251" s="6" t="n">
        <v>0</v>
      </c>
      <c r="F251" s="6" t="n">
        <v>1.38</v>
      </c>
      <c r="G251" s="6" t="n">
        <v>0</v>
      </c>
      <c r="H251" s="6" t="n">
        <v>1.38</v>
      </c>
      <c r="I251" s="6">
        <f>C251+F251</f>
        <v/>
      </c>
      <c r="J251" s="6">
        <f>D251+G251</f>
        <v/>
      </c>
      <c r="K251" s="6">
        <f>E251+H251</f>
        <v/>
      </c>
      <c r="L251" s="6" t="n">
        <v>0</v>
      </c>
      <c r="M251" s="6" t="n">
        <v>0</v>
      </c>
      <c r="N251" s="6" t="n">
        <v>0</v>
      </c>
      <c r="O251" s="6" t="n">
        <v>55000</v>
      </c>
      <c r="P251" s="6" t="n">
        <v>0</v>
      </c>
      <c r="Q251" s="6" t="n">
        <v>55000</v>
      </c>
      <c r="R251" s="6">
        <f>L251+O251</f>
        <v/>
      </c>
      <c r="S251" s="6">
        <f>M251+P251</f>
        <v/>
      </c>
      <c r="T251" s="6">
        <f>N251+Q251</f>
        <v/>
      </c>
    </row>
    <row r="252" hidden="1">
      <c r="A252" s="7" t="inlineStr">
        <is>
          <t>410444</t>
        </is>
      </c>
      <c r="B252" s="7" t="inlineStr">
        <is>
          <t>Multas e Intereses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>
        <f>C252+F252</f>
        <v/>
      </c>
      <c r="J252" s="7">
        <f>D252+G252</f>
        <v/>
      </c>
      <c r="K252" s="7">
        <f>E252+H252</f>
        <v/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>
        <f>L252+O252</f>
        <v/>
      </c>
      <c r="S252" s="7">
        <f>M252+P252</f>
        <v/>
      </c>
      <c r="T252" s="7">
        <f>N252+Q252</f>
        <v/>
      </c>
    </row>
    <row r="253" hidden="1">
      <c r="A253" s="7" t="inlineStr">
        <is>
          <t>410445</t>
        </is>
      </c>
      <c r="B253" s="7" t="inlineStr">
        <is>
          <t>Utiles de Oficina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>
        <f>C253+F253</f>
        <v/>
      </c>
      <c r="J253" s="7">
        <f>D253+G253</f>
        <v/>
      </c>
      <c r="K253" s="7">
        <f>E253+H253</f>
        <v/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>
        <f>L253+O253</f>
        <v/>
      </c>
      <c r="S253" s="7">
        <f>M253+P253</f>
        <v/>
      </c>
      <c r="T253" s="7">
        <f>N253+Q253</f>
        <v/>
      </c>
    </row>
    <row r="254" hidden="1">
      <c r="A254" s="7" t="inlineStr">
        <is>
          <t>410446</t>
        </is>
      </c>
      <c r="B254" s="7" t="inlineStr">
        <is>
          <t>Mantenciones y Reparaciones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>
        <f>C254+F254</f>
        <v/>
      </c>
      <c r="J254" s="7">
        <f>D254+G254</f>
        <v/>
      </c>
      <c r="K254" s="7">
        <f>E254+H254</f>
        <v/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>
        <f>L254+O254</f>
        <v/>
      </c>
      <c r="S254" s="7">
        <f>M254+P254</f>
        <v/>
      </c>
      <c r="T254" s="7">
        <f>N254+Q254</f>
        <v/>
      </c>
    </row>
    <row r="255" hidden="1">
      <c r="A255" s="7" t="inlineStr">
        <is>
          <t>410450</t>
        </is>
      </c>
      <c r="B255" s="7" t="inlineStr">
        <is>
          <t>Asesoria Informatica</t>
        </is>
      </c>
      <c r="C255" s="7" t="n">
        <v>0</v>
      </c>
      <c r="D255" s="7" t="n">
        <v>0</v>
      </c>
      <c r="E255" s="7" t="n">
        <v>0</v>
      </c>
      <c r="F255" s="7" t="n">
        <v>0</v>
      </c>
      <c r="G255" s="7" t="n">
        <v>0</v>
      </c>
      <c r="H255" s="7" t="n">
        <v>0</v>
      </c>
      <c r="I255" s="7">
        <f>C255+F255</f>
        <v/>
      </c>
      <c r="J255" s="7">
        <f>D255+G255</f>
        <v/>
      </c>
      <c r="K255" s="7">
        <f>E255+H255</f>
        <v/>
      </c>
      <c r="L255" s="7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>
        <f>L255+O255</f>
        <v/>
      </c>
      <c r="S255" s="7">
        <f>M255+P255</f>
        <v/>
      </c>
      <c r="T255" s="7">
        <f>N255+Q255</f>
        <v/>
      </c>
    </row>
    <row r="256">
      <c r="A256" s="6" t="inlineStr">
        <is>
          <t>410451</t>
        </is>
      </c>
      <c r="B256" s="6" t="inlineStr">
        <is>
          <t>Asesoria Financiera</t>
        </is>
      </c>
      <c r="C256" s="6" t="n">
        <v>0</v>
      </c>
      <c r="D256" s="6" t="n">
        <v>0</v>
      </c>
      <c r="E256" s="6" t="n">
        <v>0</v>
      </c>
      <c r="F256" s="6" t="n">
        <v>22</v>
      </c>
      <c r="G256" s="6" t="n">
        <v>0</v>
      </c>
      <c r="H256" s="6" t="n">
        <v>22</v>
      </c>
      <c r="I256" s="6">
        <f>C256+F256</f>
        <v/>
      </c>
      <c r="J256" s="6">
        <f>D256+G256</f>
        <v/>
      </c>
      <c r="K256" s="6">
        <f>E256+H256</f>
        <v/>
      </c>
      <c r="L256" s="6" t="n">
        <v>0</v>
      </c>
      <c r="M256" s="6" t="n">
        <v>0</v>
      </c>
      <c r="N256" s="6" t="n">
        <v>0</v>
      </c>
      <c r="O256" s="6" t="n">
        <v>898585</v>
      </c>
      <c r="P256" s="6" t="n">
        <v>0</v>
      </c>
      <c r="Q256" s="6" t="n">
        <v>898585</v>
      </c>
      <c r="R256" s="6">
        <f>L256+O256</f>
        <v/>
      </c>
      <c r="S256" s="6">
        <f>M256+P256</f>
        <v/>
      </c>
      <c r="T256" s="6">
        <f>N256+Q256</f>
        <v/>
      </c>
    </row>
    <row r="257">
      <c r="A257" s="6" t="inlineStr">
        <is>
          <t>410452</t>
        </is>
      </c>
      <c r="B257" s="6" t="inlineStr">
        <is>
          <t>Asesoria Legal</t>
        </is>
      </c>
      <c r="C257" s="6" t="n">
        <v>0</v>
      </c>
      <c r="D257" s="6" t="n">
        <v>0</v>
      </c>
      <c r="E257" s="6" t="n">
        <v>0</v>
      </c>
      <c r="F257" s="6" t="n">
        <v>18.88</v>
      </c>
      <c r="G257" s="6" t="n">
        <v>0</v>
      </c>
      <c r="H257" s="6" t="n">
        <v>18.88</v>
      </c>
      <c r="I257" s="6">
        <f>C257+F257</f>
        <v/>
      </c>
      <c r="J257" s="6">
        <f>D257+G257</f>
        <v/>
      </c>
      <c r="K257" s="6">
        <f>E257+H257</f>
        <v/>
      </c>
      <c r="L257" s="6" t="n">
        <v>0</v>
      </c>
      <c r="M257" s="6" t="n">
        <v>0</v>
      </c>
      <c r="N257" s="6" t="n">
        <v>0</v>
      </c>
      <c r="O257" s="6" t="n">
        <v>761317</v>
      </c>
      <c r="P257" s="6" t="n">
        <v>0</v>
      </c>
      <c r="Q257" s="6" t="n">
        <v>761317</v>
      </c>
      <c r="R257" s="6">
        <f>L257+O257</f>
        <v/>
      </c>
      <c r="S257" s="6">
        <f>M257+P257</f>
        <v/>
      </c>
      <c r="T257" s="6">
        <f>N257+Q257</f>
        <v/>
      </c>
    </row>
    <row r="258" hidden="1">
      <c r="A258" s="7" t="inlineStr">
        <is>
          <t>410453</t>
        </is>
      </c>
      <c r="B258" s="7" t="inlineStr">
        <is>
          <t>Asesorias Tecnicas</t>
        </is>
      </c>
      <c r="C258" s="7" t="n">
        <v>0</v>
      </c>
      <c r="D258" s="7" t="n">
        <v>0</v>
      </c>
      <c r="E258" s="7" t="n">
        <v>0</v>
      </c>
      <c r="F258" s="7" t="n">
        <v>0</v>
      </c>
      <c r="G258" s="7" t="n">
        <v>0</v>
      </c>
      <c r="H258" s="7" t="n">
        <v>0</v>
      </c>
      <c r="I258" s="7">
        <f>C258+F258</f>
        <v/>
      </c>
      <c r="J258" s="7">
        <f>D258+G258</f>
        <v/>
      </c>
      <c r="K258" s="7">
        <f>E258+H258</f>
        <v/>
      </c>
      <c r="L258" s="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>
        <f>L258+O258</f>
        <v/>
      </c>
      <c r="S258" s="7">
        <f>M258+P258</f>
        <v/>
      </c>
      <c r="T258" s="7">
        <f>N258+Q258</f>
        <v/>
      </c>
    </row>
    <row r="259" hidden="1">
      <c r="A259" s="7" t="inlineStr">
        <is>
          <t>410454</t>
        </is>
      </c>
      <c r="B259" s="7" t="inlineStr">
        <is>
          <t>Asesorias Administrativas</t>
        </is>
      </c>
      <c r="C259" s="7" t="n">
        <v>0</v>
      </c>
      <c r="D259" s="7" t="n">
        <v>0</v>
      </c>
      <c r="E259" s="7" t="n">
        <v>0</v>
      </c>
      <c r="F259" s="7" t="n">
        <v>0</v>
      </c>
      <c r="G259" s="7" t="n">
        <v>0</v>
      </c>
      <c r="H259" s="7" t="n">
        <v>0</v>
      </c>
      <c r="I259" s="7">
        <f>C259+F259</f>
        <v/>
      </c>
      <c r="J259" s="7">
        <f>D259+G259</f>
        <v/>
      </c>
      <c r="K259" s="7">
        <f>E259+H259</f>
        <v/>
      </c>
      <c r="L259" s="7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>
        <f>L259+O259</f>
        <v/>
      </c>
      <c r="S259" s="7">
        <f>M259+P259</f>
        <v/>
      </c>
      <c r="T259" s="7">
        <f>N259+Q259</f>
        <v/>
      </c>
    </row>
    <row r="260">
      <c r="A260" s="6" t="inlineStr">
        <is>
          <t>410455</t>
        </is>
      </c>
      <c r="B260" s="6" t="inlineStr">
        <is>
          <t>Auditorias y Contabilidad</t>
        </is>
      </c>
      <c r="C260" s="6" t="n">
        <v>0</v>
      </c>
      <c r="D260" s="6" t="n">
        <v>0</v>
      </c>
      <c r="E260" s="6" t="n">
        <v>0</v>
      </c>
      <c r="F260" s="6" t="n">
        <v>23.83</v>
      </c>
      <c r="G260" s="6" t="n">
        <v>0</v>
      </c>
      <c r="H260" s="6" t="n">
        <v>23.83</v>
      </c>
      <c r="I260" s="6">
        <f>C260+F260</f>
        <v/>
      </c>
      <c r="J260" s="6">
        <f>D260+G260</f>
        <v/>
      </c>
      <c r="K260" s="6">
        <f>E260+H260</f>
        <v/>
      </c>
      <c r="L260" s="6" t="n">
        <v>0</v>
      </c>
      <c r="M260" s="6" t="n">
        <v>0</v>
      </c>
      <c r="N260" s="6" t="n">
        <v>0</v>
      </c>
      <c r="O260" s="6" t="n">
        <v>960556</v>
      </c>
      <c r="P260" s="6" t="n">
        <v>0</v>
      </c>
      <c r="Q260" s="6" t="n">
        <v>960556</v>
      </c>
      <c r="R260" s="6">
        <f>L260+O260</f>
        <v/>
      </c>
      <c r="S260" s="6">
        <f>M260+P260</f>
        <v/>
      </c>
      <c r="T260" s="6">
        <f>N260+Q260</f>
        <v/>
      </c>
    </row>
    <row r="261">
      <c r="A261" s="6" t="inlineStr">
        <is>
          <t>410457</t>
        </is>
      </c>
      <c r="B261" s="6" t="inlineStr">
        <is>
          <t>Software</t>
        </is>
      </c>
      <c r="C261" s="6" t="n">
        <v>0</v>
      </c>
      <c r="D261" s="6" t="n">
        <v>0</v>
      </c>
      <c r="E261" s="6" t="n">
        <v>0</v>
      </c>
      <c r="F261" s="6" t="n">
        <v>4.73</v>
      </c>
      <c r="G261" s="6" t="n">
        <v>0</v>
      </c>
      <c r="H261" s="6" t="n">
        <v>4.73</v>
      </c>
      <c r="I261" s="6">
        <f>C261+F261</f>
        <v/>
      </c>
      <c r="J261" s="6">
        <f>D261+G261</f>
        <v/>
      </c>
      <c r="K261" s="6">
        <f>E261+H261</f>
        <v/>
      </c>
      <c r="L261" s="6" t="n">
        <v>0</v>
      </c>
      <c r="M261" s="6" t="n">
        <v>0</v>
      </c>
      <c r="N261" s="6" t="n">
        <v>0</v>
      </c>
      <c r="O261" s="6" t="n">
        <v>191390</v>
      </c>
      <c r="P261" s="6" t="n">
        <v>0</v>
      </c>
      <c r="Q261" s="6" t="n">
        <v>191390</v>
      </c>
      <c r="R261" s="6">
        <f>L261+O261</f>
        <v/>
      </c>
      <c r="S261" s="6">
        <f>M261+P261</f>
        <v/>
      </c>
      <c r="T261" s="6">
        <f>N261+Q261</f>
        <v/>
      </c>
    </row>
    <row r="262" hidden="1">
      <c r="A262" s="7" t="inlineStr">
        <is>
          <t>410458</t>
        </is>
      </c>
      <c r="B262" s="7" t="inlineStr">
        <is>
          <t>Suministros Computacionales</t>
        </is>
      </c>
      <c r="C262" s="7" t="n">
        <v>0</v>
      </c>
      <c r="D262" s="7" t="n">
        <v>0</v>
      </c>
      <c r="E262" s="7" t="n">
        <v>0</v>
      </c>
      <c r="F262" s="7" t="n">
        <v>0</v>
      </c>
      <c r="G262" s="7" t="n">
        <v>0</v>
      </c>
      <c r="H262" s="7" t="n">
        <v>0</v>
      </c>
      <c r="I262" s="7">
        <f>C262+F262</f>
        <v/>
      </c>
      <c r="J262" s="7">
        <f>D262+G262</f>
        <v/>
      </c>
      <c r="K262" s="7">
        <f>E262+H262</f>
        <v/>
      </c>
      <c r="L262" s="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>
        <f>L262+O262</f>
        <v/>
      </c>
      <c r="S262" s="7">
        <f>M262+P262</f>
        <v/>
      </c>
      <c r="T262" s="7">
        <f>N262+Q262</f>
        <v/>
      </c>
    </row>
    <row r="263" hidden="1">
      <c r="A263" s="7" t="inlineStr">
        <is>
          <t>410459</t>
        </is>
      </c>
      <c r="B263" s="7" t="inlineStr">
        <is>
          <t>Primas x Polizas de Seguro</t>
        </is>
      </c>
      <c r="C263" s="7" t="n">
        <v>0</v>
      </c>
      <c r="D263" s="7" t="n">
        <v>0</v>
      </c>
      <c r="E263" s="7" t="n">
        <v>0</v>
      </c>
      <c r="F263" s="7" t="n">
        <v>0</v>
      </c>
      <c r="G263" s="7" t="n">
        <v>0</v>
      </c>
      <c r="H263" s="7" t="n">
        <v>0</v>
      </c>
      <c r="I263" s="7">
        <f>C263+F263</f>
        <v/>
      </c>
      <c r="J263" s="7">
        <f>D263+G263</f>
        <v/>
      </c>
      <c r="K263" s="7">
        <f>E263+H263</f>
        <v/>
      </c>
      <c r="L263" s="7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>
        <f>L263+O263</f>
        <v/>
      </c>
      <c r="S263" s="7">
        <f>M263+P263</f>
        <v/>
      </c>
      <c r="T263" s="7">
        <f>N263+Q263</f>
        <v/>
      </c>
    </row>
    <row r="264">
      <c r="A264" s="6" t="inlineStr">
        <is>
          <t>410460</t>
        </is>
      </c>
      <c r="B264" s="6" t="inlineStr">
        <is>
          <t>Gastos Bancarios</t>
        </is>
      </c>
      <c r="C264" s="6" t="n">
        <v>0</v>
      </c>
      <c r="D264" s="6" t="n">
        <v>0</v>
      </c>
      <c r="E264" s="6" t="n">
        <v>0</v>
      </c>
      <c r="F264" s="6" t="n">
        <v>12.56</v>
      </c>
      <c r="G264" s="6" t="n">
        <v>0</v>
      </c>
      <c r="H264" s="6" t="n">
        <v>12.56</v>
      </c>
      <c r="I264" s="6">
        <f>C264+F264</f>
        <v/>
      </c>
      <c r="J264" s="6">
        <f>D264+G264</f>
        <v/>
      </c>
      <c r="K264" s="6">
        <f>E264+H264</f>
        <v/>
      </c>
      <c r="L264" s="6" t="n">
        <v>0</v>
      </c>
      <c r="M264" s="6" t="n">
        <v>0</v>
      </c>
      <c r="N264" s="6" t="n">
        <v>0</v>
      </c>
      <c r="O264" s="6" t="n">
        <v>502589</v>
      </c>
      <c r="P264" s="6" t="n">
        <v>0</v>
      </c>
      <c r="Q264" s="6" t="n">
        <v>502589</v>
      </c>
      <c r="R264" s="6">
        <f>L264+O264</f>
        <v/>
      </c>
      <c r="S264" s="6">
        <f>M264+P264</f>
        <v/>
      </c>
      <c r="T264" s="6">
        <f>N264+Q264</f>
        <v/>
      </c>
    </row>
    <row r="265">
      <c r="A265" s="6" t="inlineStr">
        <is>
          <t>410462</t>
        </is>
      </c>
      <c r="B265" s="6" t="inlineStr">
        <is>
          <t>Impto Timbre y Estampillas</t>
        </is>
      </c>
      <c r="C265" s="6" t="n">
        <v>0</v>
      </c>
      <c r="D265" s="6" t="n">
        <v>0</v>
      </c>
      <c r="E265" s="6" t="n">
        <v>0</v>
      </c>
      <c r="F265" s="6" t="n">
        <v>39.92</v>
      </c>
      <c r="G265" s="6" t="n">
        <v>0</v>
      </c>
      <c r="H265" s="6" t="n">
        <v>39.92</v>
      </c>
      <c r="I265" s="6">
        <f>C265+F265</f>
        <v/>
      </c>
      <c r="J265" s="6">
        <f>D265+G265</f>
        <v/>
      </c>
      <c r="K265" s="6">
        <f>E265+H265</f>
        <v/>
      </c>
      <c r="L265" s="6" t="n">
        <v>0</v>
      </c>
      <c r="M265" s="6" t="n">
        <v>0</v>
      </c>
      <c r="N265" s="6" t="n">
        <v>0</v>
      </c>
      <c r="O265" s="6" t="n">
        <v>1589064</v>
      </c>
      <c r="P265" s="6" t="n">
        <v>0</v>
      </c>
      <c r="Q265" s="6" t="n">
        <v>1589064</v>
      </c>
      <c r="R265" s="6">
        <f>L265+O265</f>
        <v/>
      </c>
      <c r="S265" s="6">
        <f>M265+P265</f>
        <v/>
      </c>
      <c r="T265" s="6">
        <f>N265+Q265</f>
        <v/>
      </c>
    </row>
    <row r="266" hidden="1">
      <c r="A266" s="7" t="inlineStr">
        <is>
          <t>410463</t>
        </is>
      </c>
      <c r="B266" s="7" t="inlineStr">
        <is>
          <t>Depreciacion Activo Fijo</t>
        </is>
      </c>
      <c r="C266" s="7" t="n">
        <v>0</v>
      </c>
      <c r="D266" s="7" t="n">
        <v>0</v>
      </c>
      <c r="E266" s="7" t="n">
        <v>0</v>
      </c>
      <c r="F266" s="7" t="n">
        <v>0</v>
      </c>
      <c r="G266" s="7" t="n">
        <v>0</v>
      </c>
      <c r="H266" s="7" t="n">
        <v>0</v>
      </c>
      <c r="I266" s="7">
        <f>C266+F266</f>
        <v/>
      </c>
      <c r="J266" s="7">
        <f>D266+G266</f>
        <v/>
      </c>
      <c r="K266" s="7">
        <f>E266+H266</f>
        <v/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>
        <f>L266+O266</f>
        <v/>
      </c>
      <c r="S266" s="7">
        <f>M266+P266</f>
        <v/>
      </c>
      <c r="T266" s="7">
        <f>N266+Q266</f>
        <v/>
      </c>
    </row>
    <row r="267" hidden="1">
      <c r="A267" s="7" t="inlineStr">
        <is>
          <t>410466</t>
        </is>
      </c>
      <c r="B267" s="7" t="inlineStr">
        <is>
          <t>Contribuciones Bs Rs</t>
        </is>
      </c>
      <c r="C267" s="7" t="n">
        <v>0</v>
      </c>
      <c r="D267" s="7" t="n">
        <v>0</v>
      </c>
      <c r="E267" s="7" t="n">
        <v>0</v>
      </c>
      <c r="F267" s="7" t="n">
        <v>0</v>
      </c>
      <c r="G267" s="7" t="n">
        <v>0</v>
      </c>
      <c r="H267" s="7" t="n">
        <v>0</v>
      </c>
      <c r="I267" s="7">
        <f>C267+F267</f>
        <v/>
      </c>
      <c r="J267" s="7">
        <f>D267+G267</f>
        <v/>
      </c>
      <c r="K267" s="7">
        <f>E267+H267</f>
        <v/>
      </c>
      <c r="L267" s="7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>
        <f>L267+O267</f>
        <v/>
      </c>
      <c r="S267" s="7">
        <f>M267+P267</f>
        <v/>
      </c>
      <c r="T267" s="7">
        <f>N267+Q267</f>
        <v/>
      </c>
    </row>
    <row r="268" hidden="1">
      <c r="A268" s="7" t="inlineStr">
        <is>
          <t>410467</t>
        </is>
      </c>
      <c r="B268" s="7" t="inlineStr">
        <is>
          <t>Patentes Municipales</t>
        </is>
      </c>
      <c r="C268" s="7" t="n">
        <v>0</v>
      </c>
      <c r="D268" s="7" t="n">
        <v>0</v>
      </c>
      <c r="E268" s="7" t="n">
        <v>0</v>
      </c>
      <c r="F268" s="7" t="n">
        <v>0</v>
      </c>
      <c r="G268" s="7" t="n">
        <v>0</v>
      </c>
      <c r="H268" s="7" t="n">
        <v>0</v>
      </c>
      <c r="I268" s="7">
        <f>C268+F268</f>
        <v/>
      </c>
      <c r="J268" s="7">
        <f>D268+G268</f>
        <v/>
      </c>
      <c r="K268" s="7">
        <f>E268+H268</f>
        <v/>
      </c>
      <c r="L268" s="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>
        <f>L268+O268</f>
        <v/>
      </c>
      <c r="S268" s="7">
        <f>M268+P268</f>
        <v/>
      </c>
      <c r="T268" s="7">
        <f>N268+Q268</f>
        <v/>
      </c>
    </row>
    <row r="269" hidden="1">
      <c r="A269" s="7" t="inlineStr">
        <is>
          <t>410469</t>
        </is>
      </c>
      <c r="B269" s="7" t="inlineStr">
        <is>
          <t>Gastos Varios</t>
        </is>
      </c>
      <c r="C269" s="7" t="n">
        <v>0</v>
      </c>
      <c r="D269" s="7" t="n">
        <v>0</v>
      </c>
      <c r="E269" s="7" t="n">
        <v>0</v>
      </c>
      <c r="F269" s="7" t="n">
        <v>0</v>
      </c>
      <c r="G269" s="7" t="n">
        <v>0</v>
      </c>
      <c r="H269" s="7" t="n">
        <v>0</v>
      </c>
      <c r="I269" s="7">
        <f>C269+F269</f>
        <v/>
      </c>
      <c r="J269" s="7">
        <f>D269+G269</f>
        <v/>
      </c>
      <c r="K269" s="7">
        <f>E269+H269</f>
        <v/>
      </c>
      <c r="L269" s="7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>
        <f>L269+O269</f>
        <v/>
      </c>
      <c r="S269" s="7">
        <f>M269+P269</f>
        <v/>
      </c>
      <c r="T269" s="7">
        <f>N269+Q269</f>
        <v/>
      </c>
    </row>
    <row r="270" hidden="1">
      <c r="A270" s="7" t="inlineStr">
        <is>
          <t>450111</t>
        </is>
      </c>
      <c r="B270" s="7" t="inlineStr">
        <is>
          <t>Int. Pagado x Ptmos MN NR</t>
        </is>
      </c>
      <c r="C270" s="7" t="n">
        <v>0</v>
      </c>
      <c r="D270" s="7" t="n">
        <v>0</v>
      </c>
      <c r="E270" s="7" t="n">
        <v>0</v>
      </c>
      <c r="F270" s="7" t="n">
        <v>0</v>
      </c>
      <c r="G270" s="7" t="n">
        <v>0</v>
      </c>
      <c r="H270" s="7" t="n">
        <v>0</v>
      </c>
      <c r="I270" s="7">
        <f>C270+F270</f>
        <v/>
      </c>
      <c r="J270" s="7">
        <f>D270+G270</f>
        <v/>
      </c>
      <c r="K270" s="7">
        <f>E270+H270</f>
        <v/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>
        <f>L270+O270</f>
        <v/>
      </c>
      <c r="S270" s="7">
        <f>M270+P270</f>
        <v/>
      </c>
      <c r="T270" s="7">
        <f>N270+Q270</f>
        <v/>
      </c>
    </row>
    <row r="271" hidden="1">
      <c r="A271" s="7" t="inlineStr">
        <is>
          <t>450112</t>
        </is>
      </c>
      <c r="B271" s="7" t="inlineStr">
        <is>
          <t>Int. Pagado x Ptmo MN R UF</t>
        </is>
      </c>
      <c r="C271" s="7" t="n">
        <v>0</v>
      </c>
      <c r="D271" s="7" t="n">
        <v>0</v>
      </c>
      <c r="E271" s="7" t="n">
        <v>0</v>
      </c>
      <c r="F271" s="7" t="n">
        <v>0</v>
      </c>
      <c r="G271" s="7" t="n">
        <v>0</v>
      </c>
      <c r="H271" s="7" t="n">
        <v>0</v>
      </c>
      <c r="I271" s="7">
        <f>C271+F271</f>
        <v/>
      </c>
      <c r="J271" s="7">
        <f>D271+G271</f>
        <v/>
      </c>
      <c r="K271" s="7">
        <f>E271+H271</f>
        <v/>
      </c>
      <c r="L271" s="7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>
        <f>L271+O271</f>
        <v/>
      </c>
      <c r="S271" s="7">
        <f>M271+P271</f>
        <v/>
      </c>
      <c r="T271" s="7">
        <f>N271+Q271</f>
        <v/>
      </c>
    </row>
    <row r="272">
      <c r="A272" s="6" t="inlineStr">
        <is>
          <t>450113</t>
        </is>
      </c>
      <c r="B272" s="6" t="inlineStr">
        <is>
          <t>Intereses Pagados</t>
        </is>
      </c>
      <c r="C272" s="6" t="n">
        <v>0</v>
      </c>
      <c r="D272" s="6" t="n">
        <v>0</v>
      </c>
      <c r="E272" s="6" t="n">
        <v>0</v>
      </c>
      <c r="F272" s="6" t="n">
        <v>1900.1</v>
      </c>
      <c r="G272" s="6" t="n">
        <v>0</v>
      </c>
      <c r="H272" s="6" t="n">
        <v>1900.1</v>
      </c>
      <c r="I272" s="6">
        <f>C272+F272</f>
        <v/>
      </c>
      <c r="J272" s="6">
        <f>D272+G272</f>
        <v/>
      </c>
      <c r="K272" s="6">
        <f>E272+H272</f>
        <v/>
      </c>
      <c r="L272" s="6" t="n">
        <v>0</v>
      </c>
      <c r="M272" s="6" t="n">
        <v>0</v>
      </c>
      <c r="N272" s="6" t="n">
        <v>0</v>
      </c>
      <c r="O272" s="6" t="n">
        <v>76814251</v>
      </c>
      <c r="P272" s="6" t="n">
        <v>0</v>
      </c>
      <c r="Q272" s="6" t="n">
        <v>76814251</v>
      </c>
      <c r="R272" s="6">
        <f>L272+O272</f>
        <v/>
      </c>
      <c r="S272" s="6">
        <f>M272+P272</f>
        <v/>
      </c>
      <c r="T272" s="6">
        <f>N272+Q272</f>
        <v/>
      </c>
    </row>
    <row r="273" hidden="1">
      <c r="A273" s="7" t="inlineStr">
        <is>
          <t>450114</t>
        </is>
      </c>
      <c r="B273" s="7" t="inlineStr">
        <is>
          <t>Reajustes Pagados</t>
        </is>
      </c>
      <c r="C273" s="7" t="n">
        <v>0</v>
      </c>
      <c r="D273" s="7" t="n">
        <v>0</v>
      </c>
      <c r="E273" s="7" t="n">
        <v>0</v>
      </c>
      <c r="F273" s="7" t="n">
        <v>0</v>
      </c>
      <c r="G273" s="7" t="n">
        <v>0</v>
      </c>
      <c r="H273" s="7" t="n">
        <v>0</v>
      </c>
      <c r="I273" s="7">
        <f>C273+F273</f>
        <v/>
      </c>
      <c r="J273" s="7">
        <f>D273+G273</f>
        <v/>
      </c>
      <c r="K273" s="7">
        <f>E273+H273</f>
        <v/>
      </c>
      <c r="L273" s="7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>
        <f>L273+O273</f>
        <v/>
      </c>
      <c r="S273" s="7">
        <f>M273+P273</f>
        <v/>
      </c>
      <c r="T273" s="7">
        <f>N273+Q273</f>
        <v/>
      </c>
    </row>
    <row r="274" hidden="1">
      <c r="A274" s="7" t="inlineStr">
        <is>
          <t>450117</t>
        </is>
      </c>
      <c r="B274" s="7" t="inlineStr">
        <is>
          <t>Interes L/Credito Bco Security / Intereses L/Credito Bco. Chile</t>
        </is>
      </c>
      <c r="C274" s="7" t="n">
        <v>0</v>
      </c>
      <c r="D274" s="7" t="n">
        <v>0</v>
      </c>
      <c r="E274" s="7" t="n">
        <v>0</v>
      </c>
      <c r="F274" s="7" t="n">
        <v>0</v>
      </c>
      <c r="G274" s="7" t="n">
        <v>0</v>
      </c>
      <c r="H274" s="7" t="n">
        <v>0</v>
      </c>
      <c r="I274" s="7">
        <f>C274+F274</f>
        <v/>
      </c>
      <c r="J274" s="7">
        <f>D274+G274</f>
        <v/>
      </c>
      <c r="K274" s="7">
        <f>E274+H274</f>
        <v/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>
        <f>L274+O274</f>
        <v/>
      </c>
      <c r="S274" s="7">
        <f>M274+P274</f>
        <v/>
      </c>
      <c r="T274" s="7">
        <f>N274+Q274</f>
        <v/>
      </c>
    </row>
    <row r="275" hidden="1">
      <c r="A275" s="7" t="inlineStr">
        <is>
          <t>450511</t>
        </is>
      </c>
      <c r="B275" s="7" t="inlineStr">
        <is>
          <t>CCMM S/. Pasivos no Monetarios</t>
        </is>
      </c>
      <c r="C275" s="7" t="n">
        <v>0</v>
      </c>
      <c r="D275" s="7" t="n">
        <v>0</v>
      </c>
      <c r="E275" s="7" t="n">
        <v>0</v>
      </c>
      <c r="F275" s="7" t="n">
        <v>0</v>
      </c>
      <c r="G275" s="7" t="n">
        <v>0</v>
      </c>
      <c r="H275" s="7" t="n">
        <v>0</v>
      </c>
      <c r="I275" s="7">
        <f>C275+F275</f>
        <v/>
      </c>
      <c r="J275" s="7">
        <f>D275+G275</f>
        <v/>
      </c>
      <c r="K275" s="7">
        <f>E275+H275</f>
        <v/>
      </c>
      <c r="L275" s="7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>
        <f>L275+O275</f>
        <v/>
      </c>
      <c r="S275" s="7">
        <f>M275+P275</f>
        <v/>
      </c>
      <c r="T275" s="7">
        <f>N275+Q275</f>
        <v/>
      </c>
    </row>
    <row r="276" hidden="1">
      <c r="A276" s="7" t="inlineStr">
        <is>
          <t>450512</t>
        </is>
      </c>
      <c r="B276" s="7" t="inlineStr">
        <is>
          <t>CCMM S/. Capital Propio</t>
        </is>
      </c>
      <c r="C276" s="7" t="n">
        <v>0</v>
      </c>
      <c r="D276" s="7" t="n">
        <v>0</v>
      </c>
      <c r="E276" s="7" t="n">
        <v>0</v>
      </c>
      <c r="F276" s="7" t="n">
        <v>0</v>
      </c>
      <c r="G276" s="7" t="n">
        <v>0</v>
      </c>
      <c r="H276" s="7" t="n">
        <v>0</v>
      </c>
      <c r="I276" s="7">
        <f>C276+F276</f>
        <v/>
      </c>
      <c r="J276" s="7">
        <f>D276+G276</f>
        <v/>
      </c>
      <c r="K276" s="7">
        <f>E276+H276</f>
        <v/>
      </c>
      <c r="L276" s="7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>
        <f>L276+O276</f>
        <v/>
      </c>
      <c r="S276" s="7">
        <f>M276+P276</f>
        <v/>
      </c>
      <c r="T276" s="7">
        <f>N276+Q276</f>
        <v/>
      </c>
    </row>
    <row r="277" hidden="1">
      <c r="A277" s="7" t="inlineStr">
        <is>
          <t>450514</t>
        </is>
      </c>
      <c r="B277" s="7" t="inlineStr">
        <is>
          <t>Diferencia de Cambio</t>
        </is>
      </c>
      <c r="C277" s="7" t="n">
        <v>0</v>
      </c>
      <c r="D277" s="7" t="n">
        <v>0</v>
      </c>
      <c r="E277" s="7" t="n">
        <v>0</v>
      </c>
      <c r="F277" s="7" t="n">
        <v>0</v>
      </c>
      <c r="G277" s="7" t="n">
        <v>0</v>
      </c>
      <c r="H277" s="7" t="n">
        <v>0</v>
      </c>
      <c r="I277" s="7">
        <f>C277+F277</f>
        <v/>
      </c>
      <c r="J277" s="7">
        <f>D277+G277</f>
        <v/>
      </c>
      <c r="K277" s="7">
        <f>E277+H277</f>
        <v/>
      </c>
      <c r="L277" s="7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>
        <f>L277+O277</f>
        <v/>
      </c>
      <c r="S277" s="7">
        <f>M277+P277</f>
        <v/>
      </c>
      <c r="T277" s="7">
        <f>N277+Q277</f>
        <v/>
      </c>
    </row>
    <row r="278" ht="18" customHeight="1">
      <c r="A278" s="1" t="inlineStr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</row>
    <row r="279" ht="18" customHeight="1">
      <c r="A279" s="1" t="inlineStr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</row>
    <row r="280">
      <c r="A280" s="4" t="inlineStr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</row>
    <row r="281" ht="18" customHeight="1">
      <c r="A281" s="1" t="inlineStr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</row>
    <row r="282">
      <c r="A282" s="4" t="inlineStr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</row>
    <row r="283" ht="18" customHeight="1">
      <c r="A283" s="1" t="inlineStr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</row>
    <row r="284" ht="18" customHeight="1">
      <c r="A284" s="1" t="inlineStr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</row>
    <row r="285" ht="18" customHeight="1">
      <c r="A285" s="1" t="inlineStr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</row>
    <row r="286" ht="18" customHeight="1">
      <c r="A286" s="1" t="inlineStr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</row>
    <row r="287" ht="18" customHeight="1">
      <c r="A287" s="1" t="inlineStr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</row>
    <row r="288" ht="18" customHeight="1">
      <c r="A288" s="1" t="inlineStr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</row>
    <row r="289" ht="18" customHeight="1">
      <c r="A289" s="1" t="inlineStr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</row>
    <row r="290">
      <c r="A290" s="4" t="inlineStr">
        <is>
          <t>CUENTAS EXCLUSIVAS GRUPO IMPULSA</t>
        </is>
      </c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</row>
    <row r="291" hidden="1">
      <c r="A291" s="7" t="inlineStr">
        <is>
          <t>1108113</t>
        </is>
      </c>
      <c r="B291" s="7" t="inlineStr">
        <is>
          <t>Credito x Pago Prov. Util. Abs. (PPUA)</t>
        </is>
      </c>
      <c r="C291" s="7" t="n">
        <v>0</v>
      </c>
      <c r="D291" s="7" t="n">
        <v>0</v>
      </c>
      <c r="E291" s="7" t="n">
        <v>0</v>
      </c>
      <c r="F291" s="7" t="n">
        <v>0</v>
      </c>
      <c r="G291" s="7" t="n">
        <v>0</v>
      </c>
      <c r="H291" s="7" t="n">
        <v>0</v>
      </c>
      <c r="I291" s="7">
        <f>C291+F291</f>
        <v/>
      </c>
      <c r="J291" s="7">
        <f>D291+G291</f>
        <v/>
      </c>
      <c r="K291" s="7">
        <f>E291+H291</f>
        <v/>
      </c>
      <c r="L291" s="7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>
        <f>L291+O291</f>
        <v/>
      </c>
      <c r="S291" s="7">
        <f>M291+P291</f>
        <v/>
      </c>
      <c r="T291" s="7">
        <f>N291+Q291</f>
        <v/>
      </c>
    </row>
    <row r="292" hidden="1">
      <c r="A292" s="7" t="inlineStr">
        <is>
          <t>120412</t>
        </is>
      </c>
      <c r="B292" s="7" t="inlineStr">
        <is>
          <t>Cta. Cte. Inmob. San Juan De La Luz S.A.</t>
        </is>
      </c>
      <c r="C292" s="7" t="n">
        <v>0</v>
      </c>
      <c r="D292" s="7" t="n">
        <v>0</v>
      </c>
      <c r="E292" s="7" t="n">
        <v>0</v>
      </c>
      <c r="F292" s="7" t="n">
        <v>0</v>
      </c>
      <c r="G292" s="7" t="n">
        <v>0</v>
      </c>
      <c r="H292" s="7" t="n">
        <v>0</v>
      </c>
      <c r="I292" s="7">
        <f>C292+F292</f>
        <v/>
      </c>
      <c r="J292" s="7">
        <f>D292+G292</f>
        <v/>
      </c>
      <c r="K292" s="7">
        <f>E292+H292</f>
        <v/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>
        <f>L292+O292</f>
        <v/>
      </c>
      <c r="S292" s="7">
        <f>M292+P292</f>
        <v/>
      </c>
      <c r="T292" s="7">
        <f>N292+Q292</f>
        <v/>
      </c>
    </row>
    <row r="293" hidden="1">
      <c r="A293" s="7" t="inlineStr">
        <is>
          <t>120413</t>
        </is>
      </c>
      <c r="B293" s="7" t="inlineStr">
        <is>
          <t>Cta. Cte. Inmobiliaria EPlaza S.A.</t>
        </is>
      </c>
      <c r="C293" s="7" t="n">
        <v>0</v>
      </c>
      <c r="D293" s="7" t="n">
        <v>0</v>
      </c>
      <c r="E293" s="7" t="n">
        <v>0</v>
      </c>
      <c r="F293" s="7" t="n">
        <v>0</v>
      </c>
      <c r="G293" s="7" t="n">
        <v>0</v>
      </c>
      <c r="H293" s="7" t="n">
        <v>0</v>
      </c>
      <c r="I293" s="7">
        <f>C293+F293</f>
        <v/>
      </c>
      <c r="J293" s="7">
        <f>D293+G293</f>
        <v/>
      </c>
      <c r="K293" s="7">
        <f>E293+H293</f>
        <v/>
      </c>
      <c r="L293" s="7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>
        <f>L293+O293</f>
        <v/>
      </c>
      <c r="S293" s="7">
        <f>M293+P293</f>
        <v/>
      </c>
      <c r="T293" s="7">
        <f>N293+Q293</f>
        <v/>
      </c>
    </row>
    <row r="294" hidden="1">
      <c r="A294" s="7" t="inlineStr">
        <is>
          <t>120414</t>
        </is>
      </c>
      <c r="B294" s="7" t="inlineStr">
        <is>
          <t>Cta. Cte. Inmob. Manquehue Norte 321 SPA</t>
        </is>
      </c>
      <c r="C294" s="7" t="n">
        <v>0</v>
      </c>
      <c r="D294" s="7" t="n">
        <v>0</v>
      </c>
      <c r="E294" s="7" t="n">
        <v>0</v>
      </c>
      <c r="F294" s="7" t="n">
        <v>0</v>
      </c>
      <c r="G294" s="7" t="n">
        <v>0</v>
      </c>
      <c r="H294" s="7" t="n">
        <v>0</v>
      </c>
      <c r="I294" s="7">
        <f>C294+F294</f>
        <v/>
      </c>
      <c r="J294" s="7">
        <f>D294+G294</f>
        <v/>
      </c>
      <c r="K294" s="7">
        <f>E294+H294</f>
        <v/>
      </c>
      <c r="L294" s="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>
        <f>L294+O294</f>
        <v/>
      </c>
      <c r="S294" s="7">
        <f>M294+P294</f>
        <v/>
      </c>
      <c r="T294" s="7">
        <f>N294+Q294</f>
        <v/>
      </c>
    </row>
    <row r="295" hidden="1">
      <c r="A295" s="7" t="inlineStr">
        <is>
          <t>120416</t>
        </is>
      </c>
      <c r="B295" s="7" t="inlineStr">
        <is>
          <t>Cta. Cte. Grupo Impulsa SPA</t>
        </is>
      </c>
      <c r="C295" s="7" t="n">
        <v>0</v>
      </c>
      <c r="D295" s="7" t="n">
        <v>0</v>
      </c>
      <c r="E295" s="7" t="n">
        <v>0</v>
      </c>
      <c r="F295" s="7" t="n">
        <v>0</v>
      </c>
      <c r="G295" s="7" t="n">
        <v>0</v>
      </c>
      <c r="H295" s="7" t="n">
        <v>0</v>
      </c>
      <c r="I295" s="7">
        <f>C295+F295</f>
        <v/>
      </c>
      <c r="J295" s="7">
        <f>D295+G295</f>
        <v/>
      </c>
      <c r="K295" s="7">
        <f>E295+H295</f>
        <v/>
      </c>
      <c r="L295" s="7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>
        <f>L295+O295</f>
        <v/>
      </c>
      <c r="S295" s="7">
        <f>M295+P295</f>
        <v/>
      </c>
      <c r="T295" s="7">
        <f>N295+Q295</f>
        <v/>
      </c>
    </row>
    <row r="296" hidden="1">
      <c r="A296" s="7" t="inlineStr">
        <is>
          <t>120515</t>
        </is>
      </c>
      <c r="B296" s="7" t="inlineStr">
        <is>
          <t>Inversion en Inmob. y Const. Los Laureles SPA</t>
        </is>
      </c>
      <c r="C296" s="7" t="n">
        <v>0</v>
      </c>
      <c r="D296" s="7" t="n">
        <v>0</v>
      </c>
      <c r="E296" s="7" t="n">
        <v>0</v>
      </c>
      <c r="F296" s="7" t="n">
        <v>0</v>
      </c>
      <c r="G296" s="7" t="n">
        <v>0</v>
      </c>
      <c r="H296" s="7" t="n">
        <v>0</v>
      </c>
      <c r="I296" s="7">
        <f>C296+F296</f>
        <v/>
      </c>
      <c r="J296" s="7">
        <f>D296+G296</f>
        <v/>
      </c>
      <c r="K296" s="7">
        <f>E296+H296</f>
        <v/>
      </c>
      <c r="L296" s="7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>
        <f>L296+O296</f>
        <v/>
      </c>
      <c r="S296" s="7">
        <f>M296+P296</f>
        <v/>
      </c>
      <c r="T296" s="7">
        <f>N296+Q296</f>
        <v/>
      </c>
    </row>
    <row r="297" hidden="1">
      <c r="A297" s="7" t="inlineStr">
        <is>
          <t>120516</t>
        </is>
      </c>
      <c r="B297" s="7" t="inlineStr">
        <is>
          <t>Inversion en Grupo Impulsa SPA</t>
        </is>
      </c>
      <c r="C297" s="7" t="n">
        <v>0</v>
      </c>
      <c r="D297" s="7" t="n">
        <v>0</v>
      </c>
      <c r="E297" s="7" t="n">
        <v>0</v>
      </c>
      <c r="F297" s="7" t="n">
        <v>0</v>
      </c>
      <c r="G297" s="7" t="n">
        <v>0</v>
      </c>
      <c r="H297" s="7" t="n">
        <v>0</v>
      </c>
      <c r="I297" s="7">
        <f>C297+F297</f>
        <v/>
      </c>
      <c r="J297" s="7">
        <f>D297+G297</f>
        <v/>
      </c>
      <c r="K297" s="7">
        <f>E297+H297</f>
        <v/>
      </c>
      <c r="L297" s="7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>
        <f>L297+O297</f>
        <v/>
      </c>
      <c r="S297" s="7">
        <f>M297+P297</f>
        <v/>
      </c>
      <c r="T297" s="7">
        <f>N297+Q297</f>
        <v/>
      </c>
    </row>
    <row r="298" hidden="1">
      <c r="A298" s="7" t="inlineStr">
        <is>
          <t>120811</t>
        </is>
      </c>
      <c r="B298" s="7" t="inlineStr">
        <is>
          <t>Inmuebles</t>
        </is>
      </c>
      <c r="C298" s="7" t="n">
        <v>0</v>
      </c>
      <c r="D298" s="7" t="n">
        <v>0</v>
      </c>
      <c r="E298" s="7" t="n">
        <v>0</v>
      </c>
      <c r="F298" s="7" t="n">
        <v>0</v>
      </c>
      <c r="G298" s="7" t="n">
        <v>0</v>
      </c>
      <c r="H298" s="7" t="n">
        <v>0</v>
      </c>
      <c r="I298" s="7">
        <f>C298+F298</f>
        <v/>
      </c>
      <c r="J298" s="7">
        <f>D298+G298</f>
        <v/>
      </c>
      <c r="K298" s="7">
        <f>E298+H298</f>
        <v/>
      </c>
      <c r="L298" s="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>
        <f>L298+O298</f>
        <v/>
      </c>
      <c r="S298" s="7">
        <f>M298+P298</f>
        <v/>
      </c>
      <c r="T298" s="7">
        <f>N298+Q298</f>
        <v/>
      </c>
    </row>
    <row r="299" hidden="1">
      <c r="A299" s="7" t="inlineStr">
        <is>
          <t>120891</t>
        </is>
      </c>
      <c r="B299" s="7" t="inlineStr">
        <is>
          <t>Dep Acumulada Inmuebles</t>
        </is>
      </c>
      <c r="C299" s="7" t="n">
        <v>0</v>
      </c>
      <c r="D299" s="7" t="n">
        <v>0</v>
      </c>
      <c r="E299" s="7" t="n">
        <v>0</v>
      </c>
      <c r="F299" s="7" t="n">
        <v>0</v>
      </c>
      <c r="G299" s="7" t="n">
        <v>0</v>
      </c>
      <c r="H299" s="7" t="n">
        <v>0</v>
      </c>
      <c r="I299" s="7">
        <f>C299+F299</f>
        <v/>
      </c>
      <c r="J299" s="7">
        <f>D299+G299</f>
        <v/>
      </c>
      <c r="K299" s="7">
        <f>E299+H299</f>
        <v/>
      </c>
      <c r="L299" s="7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>
        <f>L299+O299</f>
        <v/>
      </c>
      <c r="S299" s="7">
        <f>M299+P299</f>
        <v/>
      </c>
      <c r="T299" s="7">
        <f>N299+Q299</f>
        <v/>
      </c>
    </row>
    <row r="300" hidden="1">
      <c r="A300" s="7" t="inlineStr">
        <is>
          <t>210131</t>
        </is>
      </c>
      <c r="B300" s="7" t="inlineStr">
        <is>
          <t>Ptmos en MN R UF Porcion C/Pzo</t>
        </is>
      </c>
      <c r="C300" s="7" t="n">
        <v>0</v>
      </c>
      <c r="D300" s="7" t="n">
        <v>0</v>
      </c>
      <c r="E300" s="7" t="n">
        <v>0</v>
      </c>
      <c r="F300" s="7" t="n">
        <v>0</v>
      </c>
      <c r="G300" s="7" t="n">
        <v>0</v>
      </c>
      <c r="H300" s="7" t="n">
        <v>0</v>
      </c>
      <c r="I300" s="7">
        <f>C300+F300</f>
        <v/>
      </c>
      <c r="J300" s="7">
        <f>D300+G300</f>
        <v/>
      </c>
      <c r="K300" s="7">
        <f>E300+H300</f>
        <v/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>
        <f>L300+O300</f>
        <v/>
      </c>
      <c r="S300" s="7">
        <f>M300+P300</f>
        <v/>
      </c>
      <c r="T300" s="7">
        <f>N300+Q300</f>
        <v/>
      </c>
    </row>
    <row r="301" hidden="1">
      <c r="A301" s="7" t="inlineStr">
        <is>
          <t>210515</t>
        </is>
      </c>
      <c r="B301" s="7" t="inlineStr">
        <is>
          <t>Cta. Cte. Ing. e Inv. Fernandez Ltda.</t>
        </is>
      </c>
      <c r="C301" s="7" t="n">
        <v>0</v>
      </c>
      <c r="D301" s="7" t="n">
        <v>0</v>
      </c>
      <c r="E301" s="7" t="n">
        <v>0</v>
      </c>
      <c r="F301" s="7" t="n">
        <v>0</v>
      </c>
      <c r="G301" s="7" t="n">
        <v>0</v>
      </c>
      <c r="H301" s="7" t="n">
        <v>0</v>
      </c>
      <c r="I301" s="7">
        <f>C301+F301</f>
        <v/>
      </c>
      <c r="J301" s="7">
        <f>D301+G301</f>
        <v/>
      </c>
      <c r="K301" s="7">
        <f>E301+H301</f>
        <v/>
      </c>
      <c r="L301" s="7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>
        <f>L301+O301</f>
        <v/>
      </c>
      <c r="S301" s="7">
        <f>M301+P301</f>
        <v/>
      </c>
      <c r="T301" s="7">
        <f>N301+Q301</f>
        <v/>
      </c>
    </row>
    <row r="302" hidden="1">
      <c r="A302" s="7" t="inlineStr">
        <is>
          <t>210516</t>
        </is>
      </c>
      <c r="B302" s="7" t="inlineStr">
        <is>
          <t>Cta. Cte. Soc de Inv. e Inmob. San Luis Ltda.</t>
        </is>
      </c>
      <c r="C302" s="7" t="n">
        <v>0</v>
      </c>
      <c r="D302" s="7" t="n">
        <v>0</v>
      </c>
      <c r="E302" s="7" t="n">
        <v>0</v>
      </c>
      <c r="F302" s="7" t="n">
        <v>0</v>
      </c>
      <c r="G302" s="7" t="n">
        <v>0</v>
      </c>
      <c r="H302" s="7" t="n">
        <v>0</v>
      </c>
      <c r="I302" s="7">
        <f>C302+F302</f>
        <v/>
      </c>
      <c r="J302" s="7">
        <f>D302+G302</f>
        <v/>
      </c>
      <c r="K302" s="7">
        <f>E302+H302</f>
        <v/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>
        <f>L302+O302</f>
        <v/>
      </c>
      <c r="S302" s="7">
        <f>M302+P302</f>
        <v/>
      </c>
      <c r="T302" s="7">
        <f>N302+Q302</f>
        <v/>
      </c>
    </row>
    <row r="303" hidden="1">
      <c r="A303" s="7" t="inlineStr">
        <is>
          <t>210517</t>
        </is>
      </c>
      <c r="B303" s="7" t="inlineStr">
        <is>
          <t>Cta. Cte. Sandra Fernandez Sanhueza</t>
        </is>
      </c>
      <c r="C303" s="7" t="n">
        <v>0</v>
      </c>
      <c r="D303" s="7" t="n">
        <v>0</v>
      </c>
      <c r="E303" s="7" t="n">
        <v>0</v>
      </c>
      <c r="F303" s="7" t="n">
        <v>0</v>
      </c>
      <c r="G303" s="7" t="n">
        <v>0</v>
      </c>
      <c r="H303" s="7" t="n">
        <v>0</v>
      </c>
      <c r="I303" s="7">
        <f>C303+F303</f>
        <v/>
      </c>
      <c r="J303" s="7">
        <f>D303+G303</f>
        <v/>
      </c>
      <c r="K303" s="7">
        <f>E303+H303</f>
        <v/>
      </c>
      <c r="L303" s="7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>
        <f>L303+O303</f>
        <v/>
      </c>
      <c r="S303" s="7">
        <f>M303+P303</f>
        <v/>
      </c>
      <c r="T303" s="7">
        <f>N303+Q303</f>
        <v/>
      </c>
    </row>
    <row r="304" hidden="1">
      <c r="A304" s="7" t="inlineStr">
        <is>
          <t>210518</t>
        </is>
      </c>
      <c r="B304" s="7" t="inlineStr">
        <is>
          <t>Cta. Cte. Impulsa Desarrollos Inmob. SPA</t>
        </is>
      </c>
      <c r="C304" s="7" t="n">
        <v>0</v>
      </c>
      <c r="D304" s="7" t="n">
        <v>0</v>
      </c>
      <c r="E304" s="7" t="n">
        <v>0</v>
      </c>
      <c r="F304" s="7" t="n">
        <v>0</v>
      </c>
      <c r="G304" s="7" t="n">
        <v>0</v>
      </c>
      <c r="H304" s="7" t="n">
        <v>0</v>
      </c>
      <c r="I304" s="7">
        <f>C304+F304</f>
        <v/>
      </c>
      <c r="J304" s="7">
        <f>D304+G304</f>
        <v/>
      </c>
      <c r="K304" s="7">
        <f>E304+H304</f>
        <v/>
      </c>
      <c r="L304" s="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>
        <f>L304+O304</f>
        <v/>
      </c>
      <c r="S304" s="7">
        <f>M304+P304</f>
        <v/>
      </c>
      <c r="T304" s="7">
        <f>N304+Q304</f>
        <v/>
      </c>
    </row>
    <row r="305">
      <c r="A305" s="6" t="inlineStr">
        <is>
          <t>220411</t>
        </is>
      </c>
      <c r="B305" s="6" t="inlineStr">
        <is>
          <t>Cuentas por Pagar L/Pzo</t>
        </is>
      </c>
      <c r="C305" s="6" t="n">
        <v>0</v>
      </c>
      <c r="D305" s="6" t="n">
        <v>0</v>
      </c>
      <c r="E305" s="6" t="n">
        <v>0</v>
      </c>
      <c r="F305" s="6" t="n">
        <v>0</v>
      </c>
      <c r="G305" s="6" t="n">
        <v>71200</v>
      </c>
      <c r="H305" s="6" t="n">
        <v>-71200</v>
      </c>
      <c r="I305" s="6">
        <f>C305+F305</f>
        <v/>
      </c>
      <c r="J305" s="6">
        <f>D305+G305</f>
        <v/>
      </c>
      <c r="K305" s="6">
        <f>E305+H305</f>
        <v/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2828651345</v>
      </c>
      <c r="Q305" s="6" t="n">
        <v>-2828651345</v>
      </c>
      <c r="R305" s="6">
        <f>L305+O305</f>
        <v/>
      </c>
      <c r="S305" s="6">
        <f>M305+P305</f>
        <v/>
      </c>
      <c r="T305" s="6">
        <f>N305+Q305</f>
        <v/>
      </c>
    </row>
    <row r="306" hidden="1">
      <c r="A306" s="7" t="inlineStr">
        <is>
          <t>230617</t>
        </is>
      </c>
      <c r="B306" s="7" t="inlineStr">
        <is>
          <t>Dividendos desde Domingo Bondi S.A.</t>
        </is>
      </c>
      <c r="C306" s="7" t="n">
        <v>0</v>
      </c>
      <c r="D306" s="7" t="n">
        <v>0</v>
      </c>
      <c r="E306" s="7" t="n">
        <v>0</v>
      </c>
      <c r="F306" s="7" t="n">
        <v>0</v>
      </c>
      <c r="G306" s="7" t="n">
        <v>0</v>
      </c>
      <c r="H306" s="7" t="n">
        <v>0</v>
      </c>
      <c r="I306" s="7">
        <f>C306+F306</f>
        <v/>
      </c>
      <c r="J306" s="7">
        <f>D306+G306</f>
        <v/>
      </c>
      <c r="K306" s="7">
        <f>E306+H306</f>
        <v/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>
        <f>L306+O306</f>
        <v/>
      </c>
      <c r="S306" s="7">
        <f>M306+P306</f>
        <v/>
      </c>
      <c r="T306" s="7">
        <f>N306+Q306</f>
        <v/>
      </c>
    </row>
    <row r="307" hidden="1">
      <c r="A307" s="7" t="inlineStr">
        <is>
          <t>230618</t>
        </is>
      </c>
      <c r="B307" s="7" t="inlineStr">
        <is>
          <t>Dividendos desde Republica de Cuba S.A.</t>
        </is>
      </c>
      <c r="C307" s="7" t="n">
        <v>0</v>
      </c>
      <c r="D307" s="7" t="n">
        <v>0</v>
      </c>
      <c r="E307" s="7" t="n">
        <v>0</v>
      </c>
      <c r="F307" s="7" t="n">
        <v>0</v>
      </c>
      <c r="G307" s="7" t="n">
        <v>0</v>
      </c>
      <c r="H307" s="7" t="n">
        <v>0</v>
      </c>
      <c r="I307" s="7">
        <f>C307+F307</f>
        <v/>
      </c>
      <c r="J307" s="7">
        <f>D307+G307</f>
        <v/>
      </c>
      <c r="K307" s="7">
        <f>E307+H307</f>
        <v/>
      </c>
      <c r="L307" s="7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>
        <f>L307+O307</f>
        <v/>
      </c>
      <c r="S307" s="7">
        <f>M307+P307</f>
        <v/>
      </c>
      <c r="T307" s="7">
        <f>N307+Q307</f>
        <v/>
      </c>
    </row>
    <row r="308" hidden="1">
      <c r="A308" s="7" t="inlineStr">
        <is>
          <t>3201101</t>
        </is>
      </c>
      <c r="B308" s="7" t="inlineStr">
        <is>
          <t>Intereses ganados</t>
        </is>
      </c>
      <c r="C308" s="7" t="n">
        <v>0</v>
      </c>
      <c r="D308" s="7" t="n">
        <v>0</v>
      </c>
      <c r="E308" s="7" t="n">
        <v>0</v>
      </c>
      <c r="F308" s="7" t="n">
        <v>0</v>
      </c>
      <c r="G308" s="7" t="n">
        <v>0</v>
      </c>
      <c r="H308" s="7" t="n">
        <v>0</v>
      </c>
      <c r="I308" s="7">
        <f>C308+F308</f>
        <v/>
      </c>
      <c r="J308" s="7">
        <f>D308+G308</f>
        <v/>
      </c>
      <c r="K308" s="7">
        <f>E308+H308</f>
        <v/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>
        <f>L308+O308</f>
        <v/>
      </c>
      <c r="S308" s="7">
        <f>M308+P308</f>
        <v/>
      </c>
      <c r="T308" s="7">
        <f>N308+Q308</f>
        <v/>
      </c>
    </row>
    <row r="309" hidden="1">
      <c r="A309" s="7" t="inlineStr">
        <is>
          <t>3204121</t>
        </is>
      </c>
      <c r="B309" s="7" t="inlineStr">
        <is>
          <t>Otros ingresos</t>
        </is>
      </c>
      <c r="C309" s="7" t="n">
        <v>0</v>
      </c>
      <c r="D309" s="7" t="n">
        <v>0</v>
      </c>
      <c r="E309" s="7" t="n">
        <v>0</v>
      </c>
      <c r="F309" s="7" t="n">
        <v>0</v>
      </c>
      <c r="G309" s="7" t="n">
        <v>0</v>
      </c>
      <c r="H309" s="7" t="n">
        <v>0</v>
      </c>
      <c r="I309" s="7">
        <f>C309+F309</f>
        <v/>
      </c>
      <c r="J309" s="7">
        <f>D309+G309</f>
        <v/>
      </c>
      <c r="K309" s="7">
        <f>E309+H309</f>
        <v/>
      </c>
      <c r="L309" s="7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>
        <f>L309+O309</f>
        <v/>
      </c>
      <c r="S309" s="7">
        <f>M309+P309</f>
        <v/>
      </c>
      <c r="T309" s="7">
        <f>N309+Q309</f>
        <v/>
      </c>
    </row>
    <row r="310" hidden="1">
      <c r="A310" s="7" t="inlineStr">
        <is>
          <t>320111</t>
        </is>
      </c>
      <c r="B310" s="7" t="inlineStr">
        <is>
          <t>Int. Ganado x Inv. en Fdo Mutuos</t>
        </is>
      </c>
      <c r="C310" s="7" t="n">
        <v>0</v>
      </c>
      <c r="D310" s="7" t="n">
        <v>0</v>
      </c>
      <c r="E310" s="7" t="n">
        <v>0</v>
      </c>
      <c r="F310" s="7" t="n">
        <v>0</v>
      </c>
      <c r="G310" s="7" t="n">
        <v>0</v>
      </c>
      <c r="H310" s="7" t="n">
        <v>0</v>
      </c>
      <c r="I310" s="7">
        <f>C310+F310</f>
        <v/>
      </c>
      <c r="J310" s="7">
        <f>D310+G310</f>
        <v/>
      </c>
      <c r="K310" s="7">
        <f>E310+H310</f>
        <v/>
      </c>
      <c r="L310" s="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>
        <f>L310+O310</f>
        <v/>
      </c>
      <c r="S310" s="7">
        <f>M310+P310</f>
        <v/>
      </c>
      <c r="T310" s="7">
        <f>N310+Q310</f>
        <v/>
      </c>
    </row>
    <row r="311" hidden="1">
      <c r="A311" s="7" t="inlineStr">
        <is>
          <t>320413</t>
        </is>
      </c>
      <c r="B311" s="7" t="inlineStr">
        <is>
          <t>Dividendos Percibidos</t>
        </is>
      </c>
      <c r="C311" s="7" t="n">
        <v>0</v>
      </c>
      <c r="D311" s="7" t="n">
        <v>0</v>
      </c>
      <c r="E311" s="7" t="n">
        <v>0</v>
      </c>
      <c r="F311" s="7" t="n">
        <v>0</v>
      </c>
      <c r="G311" s="7" t="n">
        <v>0</v>
      </c>
      <c r="H311" s="7" t="n">
        <v>0</v>
      </c>
      <c r="I311" s="7">
        <f>C311+F311</f>
        <v/>
      </c>
      <c r="J311" s="7">
        <f>D311+G311</f>
        <v/>
      </c>
      <c r="K311" s="7">
        <f>E311+H311</f>
        <v/>
      </c>
      <c r="L311" s="7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>
        <f>L311+O311</f>
        <v/>
      </c>
      <c r="S311" s="7">
        <f>M311+P311</f>
        <v/>
      </c>
      <c r="T311" s="7">
        <f>N311+Q311</f>
        <v/>
      </c>
    </row>
    <row r="312" hidden="1">
      <c r="A312" s="7" t="inlineStr">
        <is>
          <t>320414</t>
        </is>
      </c>
      <c r="B312" s="7" t="inlineStr">
        <is>
          <t>Dividendos Domingo Bondi S.A.</t>
        </is>
      </c>
      <c r="C312" s="7" t="n">
        <v>0</v>
      </c>
      <c r="D312" s="7" t="n">
        <v>0</v>
      </c>
      <c r="E312" s="7" t="n">
        <v>0</v>
      </c>
      <c r="F312" s="7" t="n">
        <v>0</v>
      </c>
      <c r="G312" s="7" t="n">
        <v>0</v>
      </c>
      <c r="H312" s="7" t="n">
        <v>0</v>
      </c>
      <c r="I312" s="7">
        <f>C312+F312</f>
        <v/>
      </c>
      <c r="J312" s="7">
        <f>D312+G312</f>
        <v/>
      </c>
      <c r="K312" s="7">
        <f>E312+H312</f>
        <v/>
      </c>
      <c r="L312" s="7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>
        <f>L312+O312</f>
        <v/>
      </c>
      <c r="S312" s="7">
        <f>M312+P312</f>
        <v/>
      </c>
      <c r="T312" s="7">
        <f>N312+Q312</f>
        <v/>
      </c>
    </row>
    <row r="313" hidden="1">
      <c r="A313" s="7" t="inlineStr">
        <is>
          <t>320415</t>
        </is>
      </c>
      <c r="B313" s="7" t="inlineStr">
        <is>
          <t>Dividendos Republica de Cuba S.A.</t>
        </is>
      </c>
      <c r="C313" s="7" t="n">
        <v>0</v>
      </c>
      <c r="D313" s="7" t="n">
        <v>0</v>
      </c>
      <c r="E313" s="7" t="n">
        <v>0</v>
      </c>
      <c r="F313" s="7" t="n">
        <v>0</v>
      </c>
      <c r="G313" s="7" t="n">
        <v>0</v>
      </c>
      <c r="H313" s="7" t="n">
        <v>0</v>
      </c>
      <c r="I313" s="7">
        <f>C313+F313</f>
        <v/>
      </c>
      <c r="J313" s="7">
        <f>D313+G313</f>
        <v/>
      </c>
      <c r="K313" s="7">
        <f>E313+H313</f>
        <v/>
      </c>
      <c r="L313" s="7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>
        <f>L313+O313</f>
        <v/>
      </c>
      <c r="S313" s="7">
        <f>M313+P313</f>
        <v/>
      </c>
      <c r="T313" s="7">
        <f>N313+Q313</f>
        <v/>
      </c>
    </row>
    <row r="314" hidden="1">
      <c r="A314" s="7" t="inlineStr">
        <is>
          <t>320421</t>
        </is>
      </c>
      <c r="B314" s="7" t="inlineStr">
        <is>
          <t>Utilidad x Vta Acciones SGI Corredores</t>
        </is>
      </c>
      <c r="C314" s="7" t="n">
        <v>0</v>
      </c>
      <c r="D314" s="7" t="n">
        <v>0</v>
      </c>
      <c r="E314" s="7" t="n">
        <v>0</v>
      </c>
      <c r="F314" s="7" t="n">
        <v>0</v>
      </c>
      <c r="G314" s="7" t="n">
        <v>0</v>
      </c>
      <c r="H314" s="7" t="n">
        <v>0</v>
      </c>
      <c r="I314" s="7">
        <f>C314+F314</f>
        <v/>
      </c>
      <c r="J314" s="7">
        <f>D314+G314</f>
        <v/>
      </c>
      <c r="K314" s="7">
        <f>E314+H314</f>
        <v/>
      </c>
      <c r="L314" s="7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>
        <f>L314+O314</f>
        <v/>
      </c>
      <c r="S314" s="7">
        <f>M314+P314</f>
        <v/>
      </c>
      <c r="T314" s="7">
        <f>N314+Q314</f>
        <v/>
      </c>
    </row>
    <row r="315" hidden="1">
      <c r="A315" s="7" t="inlineStr">
        <is>
          <t>410421</t>
        </is>
      </c>
      <c r="B315" s="7" t="inlineStr">
        <is>
          <t>Gastos de Representación</t>
        </is>
      </c>
      <c r="C315" s="7" t="n">
        <v>0</v>
      </c>
      <c r="D315" s="7" t="n">
        <v>0</v>
      </c>
      <c r="E315" s="7" t="n">
        <v>0</v>
      </c>
      <c r="F315" s="7" t="n">
        <v>0</v>
      </c>
      <c r="G315" s="7" t="n">
        <v>0</v>
      </c>
      <c r="H315" s="7" t="n">
        <v>0</v>
      </c>
      <c r="I315" s="7">
        <f>C315+F315</f>
        <v/>
      </c>
      <c r="J315" s="7">
        <f>D315+G315</f>
        <v/>
      </c>
      <c r="K315" s="7">
        <f>E315+H315</f>
        <v/>
      </c>
      <c r="L315" s="7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>
        <f>L315+O315</f>
        <v/>
      </c>
      <c r="S315" s="7">
        <f>M315+P315</f>
        <v/>
      </c>
      <c r="T315" s="7">
        <f>N315+Q315</f>
        <v/>
      </c>
    </row>
    <row r="316" hidden="1">
      <c r="A316" s="7" t="inlineStr">
        <is>
          <t>410423</t>
        </is>
      </c>
      <c r="B316" s="7" t="inlineStr">
        <is>
          <t>Gastos Comunes</t>
        </is>
      </c>
      <c r="C316" s="7" t="n">
        <v>0</v>
      </c>
      <c r="D316" s="7" t="n">
        <v>0</v>
      </c>
      <c r="E316" s="7" t="n">
        <v>0</v>
      </c>
      <c r="F316" s="7" t="n">
        <v>0</v>
      </c>
      <c r="G316" s="7" t="n">
        <v>0</v>
      </c>
      <c r="H316" s="7" t="n">
        <v>0</v>
      </c>
      <c r="I316" s="7">
        <f>C316+F316</f>
        <v/>
      </c>
      <c r="J316" s="7">
        <f>D316+G316</f>
        <v/>
      </c>
      <c r="K316" s="7">
        <f>E316+H316</f>
        <v/>
      </c>
      <c r="L316" s="7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>
        <f>L316+O316</f>
        <v/>
      </c>
      <c r="S316" s="7">
        <f>M316+P316</f>
        <v/>
      </c>
      <c r="T316" s="7">
        <f>N316+Q316</f>
        <v/>
      </c>
    </row>
    <row r="317" hidden="1">
      <c r="A317" s="7" t="inlineStr">
        <is>
          <t>410425</t>
        </is>
      </c>
      <c r="B317" s="7" t="inlineStr">
        <is>
          <t>Electricidad</t>
        </is>
      </c>
      <c r="C317" s="7" t="n">
        <v>0</v>
      </c>
      <c r="D317" s="7" t="n">
        <v>0</v>
      </c>
      <c r="E317" s="7" t="n">
        <v>0</v>
      </c>
      <c r="F317" s="7" t="n">
        <v>0</v>
      </c>
      <c r="G317" s="7" t="n">
        <v>0</v>
      </c>
      <c r="H317" s="7" t="n">
        <v>0</v>
      </c>
      <c r="I317" s="7">
        <f>C317+F317</f>
        <v/>
      </c>
      <c r="J317" s="7">
        <f>D317+G317</f>
        <v/>
      </c>
      <c r="K317" s="7">
        <f>E317+H317</f>
        <v/>
      </c>
      <c r="L317" s="7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>
        <f>L317+O317</f>
        <v/>
      </c>
      <c r="S317" s="7">
        <f>M317+P317</f>
        <v/>
      </c>
      <c r="T317" s="7">
        <f>N317+Q317</f>
        <v/>
      </c>
    </row>
    <row r="318" hidden="1">
      <c r="A318" s="7" t="inlineStr">
        <is>
          <t>410430</t>
        </is>
      </c>
      <c r="B318" s="7" t="inlineStr">
        <is>
          <t>Viajes</t>
        </is>
      </c>
      <c r="C318" s="7" t="n">
        <v>0</v>
      </c>
      <c r="D318" s="7" t="n">
        <v>0</v>
      </c>
      <c r="E318" s="7" t="n">
        <v>0</v>
      </c>
      <c r="F318" s="7" t="n">
        <v>0</v>
      </c>
      <c r="G318" s="7" t="n">
        <v>0</v>
      </c>
      <c r="H318" s="7" t="n">
        <v>0</v>
      </c>
      <c r="I318" s="7">
        <f>C318+F318</f>
        <v/>
      </c>
      <c r="J318" s="7">
        <f>D318+G318</f>
        <v/>
      </c>
      <c r="K318" s="7">
        <f>E318+H318</f>
        <v/>
      </c>
      <c r="L318" s="7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>
        <f>L318+O318</f>
        <v/>
      </c>
      <c r="S318" s="7">
        <f>M318+P318</f>
        <v/>
      </c>
      <c r="T318" s="7">
        <f>N318+Q318</f>
        <v/>
      </c>
    </row>
    <row r="319" hidden="1">
      <c r="A319" s="7" t="inlineStr">
        <is>
          <t>410433</t>
        </is>
      </c>
      <c r="B319" s="7" t="inlineStr">
        <is>
          <t>Asesorias tecnicas</t>
        </is>
      </c>
      <c r="C319" s="7" t="n">
        <v>0</v>
      </c>
      <c r="D319" s="7" t="n">
        <v>0</v>
      </c>
      <c r="E319" s="7" t="n">
        <v>0</v>
      </c>
      <c r="F319" s="7" t="n">
        <v>0</v>
      </c>
      <c r="G319" s="7" t="n">
        <v>0</v>
      </c>
      <c r="H319" s="7" t="n">
        <v>0</v>
      </c>
      <c r="I319" s="7">
        <f>C319+F319</f>
        <v/>
      </c>
      <c r="J319" s="7">
        <f>D319+G319</f>
        <v/>
      </c>
      <c r="K319" s="7">
        <f>E319+H319</f>
        <v/>
      </c>
      <c r="L319" s="7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>
        <f>L319+O319</f>
        <v/>
      </c>
      <c r="S319" s="7">
        <f>M319+P319</f>
        <v/>
      </c>
      <c r="T319" s="7">
        <f>N319+Q319</f>
        <v/>
      </c>
    </row>
    <row r="320" hidden="1">
      <c r="A320" s="7" t="inlineStr">
        <is>
          <t>410435</t>
        </is>
      </c>
      <c r="B320" s="7" t="inlineStr">
        <is>
          <t>Auditorias y Contabilidad</t>
        </is>
      </c>
      <c r="C320" s="7" t="n">
        <v>0</v>
      </c>
      <c r="D320" s="7" t="n">
        <v>0</v>
      </c>
      <c r="E320" s="7" t="n">
        <v>0</v>
      </c>
      <c r="F320" s="7" t="n">
        <v>0</v>
      </c>
      <c r="G320" s="7" t="n">
        <v>0</v>
      </c>
      <c r="H320" s="7" t="n">
        <v>0</v>
      </c>
      <c r="I320" s="7">
        <f>C320+F320</f>
        <v/>
      </c>
      <c r="J320" s="7">
        <f>D320+G320</f>
        <v/>
      </c>
      <c r="K320" s="7">
        <f>E320+H320</f>
        <v/>
      </c>
      <c r="L320" s="7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>
        <f>L320+O320</f>
        <v/>
      </c>
      <c r="S320" s="7">
        <f>M320+P320</f>
        <v/>
      </c>
      <c r="T320" s="7">
        <f>N320+Q320</f>
        <v/>
      </c>
    </row>
    <row r="321" hidden="1">
      <c r="A321" s="7" t="inlineStr">
        <is>
          <t>410437</t>
        </is>
      </c>
      <c r="B321" s="7" t="inlineStr">
        <is>
          <t>Suministros Computacionales</t>
        </is>
      </c>
      <c r="C321" s="7" t="n">
        <v>0</v>
      </c>
      <c r="D321" s="7" t="n">
        <v>0</v>
      </c>
      <c r="E321" s="7" t="n">
        <v>0</v>
      </c>
      <c r="F321" s="7" t="n">
        <v>0</v>
      </c>
      <c r="G321" s="7" t="n">
        <v>0</v>
      </c>
      <c r="H321" s="7" t="n">
        <v>0</v>
      </c>
      <c r="I321" s="7">
        <f>C321+F321</f>
        <v/>
      </c>
      <c r="J321" s="7">
        <f>D321+G321</f>
        <v/>
      </c>
      <c r="K321" s="7">
        <f>E321+H321</f>
        <v/>
      </c>
      <c r="L321" s="7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>
        <f>L321+O321</f>
        <v/>
      </c>
      <c r="S321" s="7">
        <f>M321+P321</f>
        <v/>
      </c>
      <c r="T321" s="7">
        <f>N321+Q321</f>
        <v/>
      </c>
    </row>
    <row r="322" hidden="1">
      <c r="A322" s="7" t="inlineStr">
        <is>
          <t>410438</t>
        </is>
      </c>
      <c r="B322" s="7" t="inlineStr">
        <is>
          <t>Asesoria Proyectos Inmobiliarios</t>
        </is>
      </c>
      <c r="C322" s="7" t="n">
        <v>0</v>
      </c>
      <c r="D322" s="7" t="n">
        <v>0</v>
      </c>
      <c r="E322" s="7" t="n">
        <v>0</v>
      </c>
      <c r="F322" s="7" t="n">
        <v>0</v>
      </c>
      <c r="G322" s="7" t="n">
        <v>0</v>
      </c>
      <c r="H322" s="7" t="n">
        <v>0</v>
      </c>
      <c r="I322" s="7">
        <f>C322+F322</f>
        <v/>
      </c>
      <c r="J322" s="7">
        <f>D322+G322</f>
        <v/>
      </c>
      <c r="K322" s="7">
        <f>E322+H322</f>
        <v/>
      </c>
      <c r="L322" s="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>
        <f>L322+O322</f>
        <v/>
      </c>
      <c r="S322" s="7">
        <f>M322+P322</f>
        <v/>
      </c>
      <c r="T322" s="7">
        <f>N322+Q322</f>
        <v/>
      </c>
    </row>
    <row r="323" hidden="1">
      <c r="A323" s="7" t="inlineStr">
        <is>
          <t>410456</t>
        </is>
      </c>
      <c r="B323" s="7" t="inlineStr">
        <is>
          <t>Asesoria Proyectos Inmobiliarios</t>
        </is>
      </c>
      <c r="C323" s="7" t="n">
        <v>0</v>
      </c>
      <c r="D323" s="7" t="n">
        <v>0</v>
      </c>
      <c r="E323" s="7" t="n">
        <v>0</v>
      </c>
      <c r="F323" s="7" t="n">
        <v>0</v>
      </c>
      <c r="G323" s="7" t="n">
        <v>0</v>
      </c>
      <c r="H323" s="7" t="n">
        <v>0</v>
      </c>
      <c r="I323" s="7">
        <f>C323+F323</f>
        <v/>
      </c>
      <c r="J323" s="7">
        <f>D323+G323</f>
        <v/>
      </c>
      <c r="K323" s="7">
        <f>E323+H323</f>
        <v/>
      </c>
      <c r="L323" s="7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>
        <f>L323+O323</f>
        <v/>
      </c>
      <c r="S323" s="7">
        <f>M323+P323</f>
        <v/>
      </c>
      <c r="T323" s="7">
        <f>N323+Q323</f>
        <v/>
      </c>
    </row>
    <row r="324" hidden="1">
      <c r="A324" s="7" t="inlineStr">
        <is>
          <t>410461</t>
        </is>
      </c>
      <c r="B324" s="7" t="inlineStr">
        <is>
          <t>Comisiones Pagadas</t>
        </is>
      </c>
      <c r="C324" s="7" t="n">
        <v>0</v>
      </c>
      <c r="D324" s="7" t="n">
        <v>0</v>
      </c>
      <c r="E324" s="7" t="n">
        <v>0</v>
      </c>
      <c r="F324" s="7" t="n">
        <v>0</v>
      </c>
      <c r="G324" s="7" t="n">
        <v>0</v>
      </c>
      <c r="H324" s="7" t="n">
        <v>0</v>
      </c>
      <c r="I324" s="7">
        <f>C324+F324</f>
        <v/>
      </c>
      <c r="J324" s="7">
        <f>D324+G324</f>
        <v/>
      </c>
      <c r="K324" s="7">
        <f>E324+H324</f>
        <v/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>
        <f>L324+O324</f>
        <v/>
      </c>
      <c r="S324" s="7">
        <f>M324+P324</f>
        <v/>
      </c>
      <c r="T324" s="7">
        <f>N324+Q324</f>
        <v/>
      </c>
    </row>
    <row r="325" hidden="1">
      <c r="A325" s="7" t="inlineStr">
        <is>
          <t>410484</t>
        </is>
      </c>
      <c r="B325" s="7" t="inlineStr">
        <is>
          <t>Seguros</t>
        </is>
      </c>
      <c r="C325" s="7" t="n">
        <v>0</v>
      </c>
      <c r="D325" s="7" t="n">
        <v>0</v>
      </c>
      <c r="E325" s="7" t="n">
        <v>0</v>
      </c>
      <c r="F325" s="7" t="n">
        <v>0</v>
      </c>
      <c r="G325" s="7" t="n">
        <v>0</v>
      </c>
      <c r="H325" s="7" t="n">
        <v>0</v>
      </c>
      <c r="I325" s="7">
        <f>C325+F325</f>
        <v/>
      </c>
      <c r="J325" s="7">
        <f>D325+G325</f>
        <v/>
      </c>
      <c r="K325" s="7">
        <f>E325+H325</f>
        <v/>
      </c>
      <c r="L325" s="7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7">
        <f>L325+O325</f>
        <v/>
      </c>
      <c r="S325" s="7">
        <f>M325+P325</f>
        <v/>
      </c>
      <c r="T325" s="7">
        <f>N325+Q325</f>
        <v/>
      </c>
    </row>
    <row r="326" hidden="1">
      <c r="A326" s="7" t="inlineStr">
        <is>
          <t>4502102</t>
        </is>
      </c>
      <c r="B326" s="7" t="inlineStr">
        <is>
          <t>VPP Inmobiliaria J. Matte</t>
        </is>
      </c>
      <c r="C326" s="7" t="n">
        <v>0</v>
      </c>
      <c r="D326" s="7" t="n">
        <v>0</v>
      </c>
      <c r="E326" s="7" t="n">
        <v>0</v>
      </c>
      <c r="F326" s="7" t="n">
        <v>0</v>
      </c>
      <c r="G326" s="7" t="n">
        <v>0</v>
      </c>
      <c r="H326" s="7" t="n">
        <v>0</v>
      </c>
      <c r="I326" s="7">
        <f>C326+F326</f>
        <v/>
      </c>
      <c r="J326" s="7">
        <f>D326+G326</f>
        <v/>
      </c>
      <c r="K326" s="7">
        <f>E326+H326</f>
        <v/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>
        <f>L326+O326</f>
        <v/>
      </c>
      <c r="S326" s="7">
        <f>M326+P326</f>
        <v/>
      </c>
      <c r="T326" s="7">
        <f>N326+Q326</f>
        <v/>
      </c>
    </row>
    <row r="327" hidden="1">
      <c r="A327" s="7" t="inlineStr">
        <is>
          <t>4502103</t>
        </is>
      </c>
      <c r="B327" s="7" t="inlineStr">
        <is>
          <t>VPP Inmobiliaria El Roble</t>
        </is>
      </c>
      <c r="C327" s="7" t="n">
        <v>0</v>
      </c>
      <c r="D327" s="7" t="n">
        <v>0</v>
      </c>
      <c r="E327" s="7" t="n">
        <v>0</v>
      </c>
      <c r="F327" s="7" t="n">
        <v>0</v>
      </c>
      <c r="G327" s="7" t="n">
        <v>0</v>
      </c>
      <c r="H327" s="7" t="n">
        <v>0</v>
      </c>
      <c r="I327" s="7">
        <f>C327+F327</f>
        <v/>
      </c>
      <c r="J327" s="7">
        <f>D327+G327</f>
        <v/>
      </c>
      <c r="K327" s="7">
        <f>E327+H327</f>
        <v/>
      </c>
      <c r="L327" s="7" t="n">
        <v>0</v>
      </c>
      <c r="M327" s="7" t="n">
        <v>0</v>
      </c>
      <c r="N327" s="7" t="n">
        <v>0</v>
      </c>
      <c r="O327" s="7" t="n">
        <v>0</v>
      </c>
      <c r="P327" s="7" t="n">
        <v>0</v>
      </c>
      <c r="Q327" s="7" t="n">
        <v>0</v>
      </c>
      <c r="R327" s="7">
        <f>L327+O327</f>
        <v/>
      </c>
      <c r="S327" s="7">
        <f>M327+P327</f>
        <v/>
      </c>
      <c r="T327" s="7">
        <f>N327+Q327</f>
        <v/>
      </c>
    </row>
    <row r="328" hidden="1">
      <c r="A328" s="7" t="inlineStr">
        <is>
          <t>4502104</t>
        </is>
      </c>
      <c r="B328" s="7" t="inlineStr">
        <is>
          <t>VPP Inmobiliaria La Espuela</t>
        </is>
      </c>
      <c r="C328" s="7" t="n">
        <v>0</v>
      </c>
      <c r="D328" s="7" t="n">
        <v>0</v>
      </c>
      <c r="E328" s="7" t="n">
        <v>0</v>
      </c>
      <c r="F328" s="7" t="n">
        <v>0</v>
      </c>
      <c r="G328" s="7" t="n">
        <v>0</v>
      </c>
      <c r="H328" s="7" t="n">
        <v>0</v>
      </c>
      <c r="I328" s="7">
        <f>C328+F328</f>
        <v/>
      </c>
      <c r="J328" s="7">
        <f>D328+G328</f>
        <v/>
      </c>
      <c r="K328" s="7">
        <f>E328+H328</f>
        <v/>
      </c>
      <c r="L328" s="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>
        <f>L328+O328</f>
        <v/>
      </c>
      <c r="S328" s="7">
        <f>M328+P328</f>
        <v/>
      </c>
      <c r="T328" s="7">
        <f>N328+Q328</f>
        <v/>
      </c>
    </row>
    <row r="329" hidden="1">
      <c r="A329" s="7" t="inlineStr">
        <is>
          <t>470111</t>
        </is>
      </c>
      <c r="B329" s="7" t="inlineStr">
        <is>
          <t>Impuesto a la Renta</t>
        </is>
      </c>
      <c r="C329" s="7" t="n">
        <v>0</v>
      </c>
      <c r="D329" s="7" t="n">
        <v>0</v>
      </c>
      <c r="E329" s="7" t="n">
        <v>0</v>
      </c>
      <c r="F329" s="7" t="n">
        <v>0</v>
      </c>
      <c r="G329" s="7" t="n">
        <v>0</v>
      </c>
      <c r="H329" s="7" t="n">
        <v>0</v>
      </c>
      <c r="I329" s="7">
        <f>C329+F329</f>
        <v/>
      </c>
      <c r="J329" s="7">
        <f>D329+G329</f>
        <v/>
      </c>
      <c r="K329" s="7">
        <f>E329+H329</f>
        <v/>
      </c>
      <c r="L329" s="7" t="n">
        <v>0</v>
      </c>
      <c r="M329" s="7" t="n">
        <v>0</v>
      </c>
      <c r="N329" s="7" t="n">
        <v>0</v>
      </c>
      <c r="O329" s="7" t="n">
        <v>0</v>
      </c>
      <c r="P329" s="7" t="n">
        <v>0</v>
      </c>
      <c r="Q329" s="7" t="n">
        <v>0</v>
      </c>
      <c r="R329" s="7">
        <f>L329+O329</f>
        <v/>
      </c>
      <c r="S329" s="7">
        <f>M329+P329</f>
        <v/>
      </c>
      <c r="T329" s="7">
        <f>N329+Q329</f>
        <v/>
      </c>
    </row>
    <row r="330">
      <c r="A330" s="8" t="n"/>
      <c r="B330" s="9" t="inlineStr">
        <is>
          <t>SUBTOTAL — EFECTIVO O EFECTIVO EQUIVALENTE</t>
        </is>
      </c>
      <c r="C330" s="8">
        <f>SUM(C5,C6,C7,C8)</f>
        <v/>
      </c>
      <c r="D330" s="8">
        <f>SUM(D5,D6,D7,D8)</f>
        <v/>
      </c>
      <c r="E330" s="8">
        <f>SUM(E5,E6,E7,E8)</f>
        <v/>
      </c>
      <c r="F330" s="8">
        <f>SUM(F5,F6,F7,F8)</f>
        <v/>
      </c>
      <c r="G330" s="8">
        <f>SUM(G5,G6,G7,G8)</f>
        <v/>
      </c>
      <c r="H330" s="8">
        <f>SUM(H5,H6,H7,H8)</f>
        <v/>
      </c>
      <c r="I330" s="8">
        <f>SUM(I5,I6,I7,I8)</f>
        <v/>
      </c>
      <c r="J330" s="8">
        <f>SUM(J5,J6,J7,J8)</f>
        <v/>
      </c>
      <c r="K330" s="8">
        <f>SUM(K5,K6,K7,K8)</f>
        <v/>
      </c>
      <c r="L330" s="8">
        <f>SUM(L5,L6,L7,L8)</f>
        <v/>
      </c>
      <c r="M330" s="8">
        <f>SUM(M5,M6,M7,M8)</f>
        <v/>
      </c>
      <c r="N330" s="8">
        <f>SUM(N5,N6,N7,N8)</f>
        <v/>
      </c>
      <c r="O330" s="8">
        <f>SUM(O5,O6,O7,O8)</f>
        <v/>
      </c>
      <c r="P330" s="8">
        <f>SUM(P5,P6,P7,P8)</f>
        <v/>
      </c>
      <c r="Q330" s="8">
        <f>SUM(Q5,Q6,Q7,Q8)</f>
        <v/>
      </c>
      <c r="R330" s="8">
        <f>SUM(R5,R6,R7,R8)</f>
        <v/>
      </c>
      <c r="S330" s="8">
        <f>SUM(S5,S6,S7,S8)</f>
        <v/>
      </c>
      <c r="T330" s="8">
        <f>SUM(T5,T6,T7,T8)</f>
        <v/>
      </c>
    </row>
    <row r="331">
      <c r="A331" s="8" t="n"/>
      <c r="B331" s="9" t="inlineStr">
        <is>
          <t>SUBTOTAL — VALORES NEGOCIABLES</t>
        </is>
      </c>
      <c r="C331" s="8">
        <f>SUM(C12)</f>
        <v/>
      </c>
      <c r="D331" s="8">
        <f>SUM(D12)</f>
        <v/>
      </c>
      <c r="E331" s="8">
        <f>SUM(E12)</f>
        <v/>
      </c>
      <c r="F331" s="8">
        <f>SUM(F12)</f>
        <v/>
      </c>
      <c r="G331" s="8">
        <f>SUM(G12)</f>
        <v/>
      </c>
      <c r="H331" s="8">
        <f>SUM(H12)</f>
        <v/>
      </c>
      <c r="I331" s="8">
        <f>SUM(I12)</f>
        <v/>
      </c>
      <c r="J331" s="8">
        <f>SUM(J12)</f>
        <v/>
      </c>
      <c r="K331" s="8">
        <f>SUM(K12)</f>
        <v/>
      </c>
      <c r="L331" s="8">
        <f>SUM(L12)</f>
        <v/>
      </c>
      <c r="M331" s="8">
        <f>SUM(M12)</f>
        <v/>
      </c>
      <c r="N331" s="8">
        <f>SUM(N12)</f>
        <v/>
      </c>
      <c r="O331" s="8">
        <f>SUM(O12)</f>
        <v/>
      </c>
      <c r="P331" s="8">
        <f>SUM(P12)</f>
        <v/>
      </c>
      <c r="Q331" s="8">
        <f>SUM(Q12)</f>
        <v/>
      </c>
      <c r="R331" s="8">
        <f>SUM(R12)</f>
        <v/>
      </c>
      <c r="S331" s="8">
        <f>SUM(S12)</f>
        <v/>
      </c>
      <c r="T331" s="8">
        <f>SUM(T12)</f>
        <v/>
      </c>
    </row>
    <row r="332">
      <c r="A332" s="8" t="n"/>
      <c r="B332" s="9" t="inlineStr">
        <is>
          <t>SUBTOTAL — DEUDORES POR PROMESAS</t>
        </is>
      </c>
      <c r="C332" s="8">
        <f>SUM(C14)</f>
        <v/>
      </c>
      <c r="D332" s="8">
        <f>SUM(D14)</f>
        <v/>
      </c>
      <c r="E332" s="8">
        <f>SUM(E14)</f>
        <v/>
      </c>
      <c r="F332" s="8">
        <f>SUM(F14)</f>
        <v/>
      </c>
      <c r="G332" s="8">
        <f>SUM(G14)</f>
        <v/>
      </c>
      <c r="H332" s="8">
        <f>SUM(H14)</f>
        <v/>
      </c>
      <c r="I332" s="8">
        <f>SUM(I14)</f>
        <v/>
      </c>
      <c r="J332" s="8">
        <f>SUM(J14)</f>
        <v/>
      </c>
      <c r="K332" s="8">
        <f>SUM(K14)</f>
        <v/>
      </c>
      <c r="L332" s="8">
        <f>SUM(L14)</f>
        <v/>
      </c>
      <c r="M332" s="8">
        <f>SUM(M14)</f>
        <v/>
      </c>
      <c r="N332" s="8">
        <f>SUM(N14)</f>
        <v/>
      </c>
      <c r="O332" s="8">
        <f>SUM(O14)</f>
        <v/>
      </c>
      <c r="P332" s="8">
        <f>SUM(P14)</f>
        <v/>
      </c>
      <c r="Q332" s="8">
        <f>SUM(Q14)</f>
        <v/>
      </c>
      <c r="R332" s="8">
        <f>SUM(R14)</f>
        <v/>
      </c>
      <c r="S332" s="8">
        <f>SUM(S14)</f>
        <v/>
      </c>
      <c r="T332" s="8">
        <f>SUM(T14)</f>
        <v/>
      </c>
    </row>
    <row r="333">
      <c r="A333" s="8" t="n"/>
      <c r="B333" s="9" t="inlineStr">
        <is>
          <t>SUBTOTAL — DEUDORES POR VENTAS</t>
        </is>
      </c>
      <c r="C333" s="8">
        <f>SUM(C16)</f>
        <v/>
      </c>
      <c r="D333" s="8">
        <f>SUM(D16)</f>
        <v/>
      </c>
      <c r="E333" s="8">
        <f>SUM(E16)</f>
        <v/>
      </c>
      <c r="F333" s="8">
        <f>SUM(F16)</f>
        <v/>
      </c>
      <c r="G333" s="8">
        <f>SUM(G16)</f>
        <v/>
      </c>
      <c r="H333" s="8">
        <f>SUM(H16)</f>
        <v/>
      </c>
      <c r="I333" s="8">
        <f>SUM(I16)</f>
        <v/>
      </c>
      <c r="J333" s="8">
        <f>SUM(J16)</f>
        <v/>
      </c>
      <c r="K333" s="8">
        <f>SUM(K16)</f>
        <v/>
      </c>
      <c r="L333" s="8">
        <f>SUM(L16)</f>
        <v/>
      </c>
      <c r="M333" s="8">
        <f>SUM(M16)</f>
        <v/>
      </c>
      <c r="N333" s="8">
        <f>SUM(N16)</f>
        <v/>
      </c>
      <c r="O333" s="8">
        <f>SUM(O16)</f>
        <v/>
      </c>
      <c r="P333" s="8">
        <f>SUM(P16)</f>
        <v/>
      </c>
      <c r="Q333" s="8">
        <f>SUM(Q16)</f>
        <v/>
      </c>
      <c r="R333" s="8">
        <f>SUM(R16)</f>
        <v/>
      </c>
      <c r="S333" s="8">
        <f>SUM(S16)</f>
        <v/>
      </c>
      <c r="T333" s="8">
        <f>SUM(T16)</f>
        <v/>
      </c>
    </row>
    <row r="334">
      <c r="A334" s="8" t="n"/>
      <c r="B334" s="9" t="inlineStr">
        <is>
          <t>SUBTOTAL — DEUDORES VARIOS</t>
        </is>
      </c>
      <c r="C334" s="8">
        <f>SUM(C18,C19,C20,C21,C22)</f>
        <v/>
      </c>
      <c r="D334" s="8">
        <f>SUM(D18,D19,D20,D21,D22)</f>
        <v/>
      </c>
      <c r="E334" s="8">
        <f>SUM(E18,E19,E20,E21,E22)</f>
        <v/>
      </c>
      <c r="F334" s="8">
        <f>SUM(F18,F19,F20,F21,F22)</f>
        <v/>
      </c>
      <c r="G334" s="8">
        <f>SUM(G18,G19,G20,G21,G22)</f>
        <v/>
      </c>
      <c r="H334" s="8">
        <f>SUM(H18,H19,H20,H21,H22)</f>
        <v/>
      </c>
      <c r="I334" s="8">
        <f>SUM(I18,I19,I20,I21,I22)</f>
        <v/>
      </c>
      <c r="J334" s="8">
        <f>SUM(J18,J19,J20,J21,J22)</f>
        <v/>
      </c>
      <c r="K334" s="8">
        <f>SUM(K18,K19,K20,K21,K22)</f>
        <v/>
      </c>
      <c r="L334" s="8">
        <f>SUM(L18,L19,L20,L21,L22)</f>
        <v/>
      </c>
      <c r="M334" s="8">
        <f>SUM(M18,M19,M20,M21,M22)</f>
        <v/>
      </c>
      <c r="N334" s="8">
        <f>SUM(N18,N19,N20,N21,N22)</f>
        <v/>
      </c>
      <c r="O334" s="8">
        <f>SUM(O18,O19,O20,O21,O22)</f>
        <v/>
      </c>
      <c r="P334" s="8">
        <f>SUM(P18,P19,P20,P21,P22)</f>
        <v/>
      </c>
      <c r="Q334" s="8">
        <f>SUM(Q18,Q19,Q20,Q21,Q22)</f>
        <v/>
      </c>
      <c r="R334" s="8">
        <f>SUM(R18,R19,R20,R21,R22)</f>
        <v/>
      </c>
      <c r="S334" s="8">
        <f>SUM(S18,S19,S20,S21,S22)</f>
        <v/>
      </c>
      <c r="T334" s="8">
        <f>SUM(T18,T19,T20,T21,T22)</f>
        <v/>
      </c>
    </row>
    <row r="335">
      <c r="A335" s="8" t="n"/>
      <c r="B335" s="9" t="inlineStr">
        <is>
          <t>SUBTOTAL — CTAS Y DOCTOS X COBRAR A EERR</t>
        </is>
      </c>
      <c r="C335" s="8">
        <f>SUM(C33,C34,C35,C36,C37)</f>
        <v/>
      </c>
      <c r="D335" s="8">
        <f>SUM(D33,D34,D35,D36,D37)</f>
        <v/>
      </c>
      <c r="E335" s="8">
        <f>SUM(E33,E34,E35,E36,E37)</f>
        <v/>
      </c>
      <c r="F335" s="8">
        <f>SUM(F33,F34,F35,F36,F37)</f>
        <v/>
      </c>
      <c r="G335" s="8">
        <f>SUM(G33,G34,G35,G36,G37)</f>
        <v/>
      </c>
      <c r="H335" s="8">
        <f>SUM(H33,H34,H35,H36,H37)</f>
        <v/>
      </c>
      <c r="I335" s="8">
        <f>SUM(I33,I34,I35,I36,I37)</f>
        <v/>
      </c>
      <c r="J335" s="8">
        <f>SUM(J33,J34,J35,J36,J37)</f>
        <v/>
      </c>
      <c r="K335" s="8">
        <f>SUM(K33,K34,K35,K36,K37)</f>
        <v/>
      </c>
      <c r="L335" s="8">
        <f>SUM(L33,L34,L35,L36,L37)</f>
        <v/>
      </c>
      <c r="M335" s="8">
        <f>SUM(M33,M34,M35,M36,M37)</f>
        <v/>
      </c>
      <c r="N335" s="8">
        <f>SUM(N33,N34,N35,N36,N37)</f>
        <v/>
      </c>
      <c r="O335" s="8">
        <f>SUM(O33,O34,O35,O36,O37)</f>
        <v/>
      </c>
      <c r="P335" s="8">
        <f>SUM(P33,P34,P35,P36,P37)</f>
        <v/>
      </c>
      <c r="Q335" s="8">
        <f>SUM(Q33,Q34,Q35,Q36,Q37)</f>
        <v/>
      </c>
      <c r="R335" s="8">
        <f>SUM(R33,R34,R35,R36,R37)</f>
        <v/>
      </c>
      <c r="S335" s="8">
        <f>SUM(S33,S34,S35,S36,S37)</f>
        <v/>
      </c>
      <c r="T335" s="8">
        <f>SUM(T33,T34,T35,T36,T37)</f>
        <v/>
      </c>
    </row>
    <row r="336">
      <c r="A336" s="8" t="n"/>
      <c r="B336" s="9" t="inlineStr">
        <is>
          <t>SUBTOTAL — IMPUESTOS POR RECUPERAR</t>
        </is>
      </c>
      <c r="C336" s="8">
        <f>SUM(C26,C27,C28,C29)</f>
        <v/>
      </c>
      <c r="D336" s="8">
        <f>SUM(D26,D27,D28,D29)</f>
        <v/>
      </c>
      <c r="E336" s="8">
        <f>SUM(E26,E27,E28,E29)</f>
        <v/>
      </c>
      <c r="F336" s="8">
        <f>SUM(F26,F27,F28,F29)</f>
        <v/>
      </c>
      <c r="G336" s="8">
        <f>SUM(G26,G27,G28,G29)</f>
        <v/>
      </c>
      <c r="H336" s="8">
        <f>SUM(H26,H27,H28,H29)</f>
        <v/>
      </c>
      <c r="I336" s="8">
        <f>SUM(I26,I27,I28,I29)</f>
        <v/>
      </c>
      <c r="J336" s="8">
        <f>SUM(J26,J27,J28,J29)</f>
        <v/>
      </c>
      <c r="K336" s="8">
        <f>SUM(K26,K27,K28,K29)</f>
        <v/>
      </c>
      <c r="L336" s="8">
        <f>SUM(L26,L27,L28,L29)</f>
        <v/>
      </c>
      <c r="M336" s="8">
        <f>SUM(M26,M27,M28,M29)</f>
        <v/>
      </c>
      <c r="N336" s="8">
        <f>SUM(N26,N27,N28,N29)</f>
        <v/>
      </c>
      <c r="O336" s="8">
        <f>SUM(O26,O27,O28,O29)</f>
        <v/>
      </c>
      <c r="P336" s="8">
        <f>SUM(P26,P27,P28,P29)</f>
        <v/>
      </c>
      <c r="Q336" s="8">
        <f>SUM(Q26,Q27,Q28,Q29)</f>
        <v/>
      </c>
      <c r="R336" s="8">
        <f>SUM(R26,R27,R28,R29)</f>
        <v/>
      </c>
      <c r="S336" s="8">
        <f>SUM(S26,S27,S28,S29)</f>
        <v/>
      </c>
      <c r="T336" s="8">
        <f>SUM(T26,T27,T28,T29)</f>
        <v/>
      </c>
    </row>
    <row r="337">
      <c r="A337" s="8" t="n"/>
      <c r="B337" s="9" t="inlineStr">
        <is>
          <t>SUBTOTAL — INVERSION EMPRESA RELACIONADA</t>
        </is>
      </c>
      <c r="C337" s="8">
        <f>SUM(C39,C40,C41,C42)</f>
        <v/>
      </c>
      <c r="D337" s="8">
        <f>SUM(D39,D40,D41,D42)</f>
        <v/>
      </c>
      <c r="E337" s="8">
        <f>SUM(E39,E40,E41,E42)</f>
        <v/>
      </c>
      <c r="F337" s="8">
        <f>SUM(F39,F40,F41,F42)</f>
        <v/>
      </c>
      <c r="G337" s="8">
        <f>SUM(G39,G40,G41,G42)</f>
        <v/>
      </c>
      <c r="H337" s="8">
        <f>SUM(H39,H40,H41,H42)</f>
        <v/>
      </c>
      <c r="I337" s="8">
        <f>SUM(I39,I40,I41,I42)</f>
        <v/>
      </c>
      <c r="J337" s="8">
        <f>SUM(J39,J40,J41,J42)</f>
        <v/>
      </c>
      <c r="K337" s="8">
        <f>SUM(K39,K40,K41,K42)</f>
        <v/>
      </c>
      <c r="L337" s="8">
        <f>SUM(L39,L40,L41,L42)</f>
        <v/>
      </c>
      <c r="M337" s="8">
        <f>SUM(M39,M40,M41,M42)</f>
        <v/>
      </c>
      <c r="N337" s="8">
        <f>SUM(N39,N40,N41,N42)</f>
        <v/>
      </c>
      <c r="O337" s="8">
        <f>SUM(O39,O40,O41,O42)</f>
        <v/>
      </c>
      <c r="P337" s="8">
        <f>SUM(P39,P40,P41,P42)</f>
        <v/>
      </c>
      <c r="Q337" s="8">
        <f>SUM(Q39,Q40,Q41,Q42)</f>
        <v/>
      </c>
      <c r="R337" s="8">
        <f>SUM(R39,R40,R41,R42)</f>
        <v/>
      </c>
      <c r="S337" s="8">
        <f>SUM(S39,S40,S41,S42)</f>
        <v/>
      </c>
      <c r="T337" s="8">
        <f>SUM(T39,T40,T41,T42)</f>
        <v/>
      </c>
    </row>
    <row r="338">
      <c r="A338" s="8" t="n"/>
      <c r="B338" s="9" t="inlineStr">
        <is>
          <t>SUBTOTAL — PROPIEDADES Y EQUIPOS</t>
        </is>
      </c>
      <c r="C338" s="8">
        <f>SUM(C44,C45,C46,C47,C48)</f>
        <v/>
      </c>
      <c r="D338" s="8">
        <f>SUM(D44,D45,D46,D47,D48)</f>
        <v/>
      </c>
      <c r="E338" s="8">
        <f>SUM(E44,E45,E46,E47,E48)</f>
        <v/>
      </c>
      <c r="F338" s="8">
        <f>SUM(F44,F45,F46,F47,F48)</f>
        <v/>
      </c>
      <c r="G338" s="8">
        <f>SUM(G44,G45,G46,G47,G48)</f>
        <v/>
      </c>
      <c r="H338" s="8">
        <f>SUM(H44,H45,H46,H47,H48)</f>
        <v/>
      </c>
      <c r="I338" s="8">
        <f>SUM(I44,I45,I46,I47,I48)</f>
        <v/>
      </c>
      <c r="J338" s="8">
        <f>SUM(J44,J45,J46,J47,J48)</f>
        <v/>
      </c>
      <c r="K338" s="8">
        <f>SUM(K44,K45,K46,K47,K48)</f>
        <v/>
      </c>
      <c r="L338" s="8">
        <f>SUM(L44,L45,L46,L47,L48)</f>
        <v/>
      </c>
      <c r="M338" s="8">
        <f>SUM(M44,M45,M46,M47,M48)</f>
        <v/>
      </c>
      <c r="N338" s="8">
        <f>SUM(N44,N45,N46,N47,N48)</f>
        <v/>
      </c>
      <c r="O338" s="8">
        <f>SUM(O44,O45,O46,O47,O48)</f>
        <v/>
      </c>
      <c r="P338" s="8">
        <f>SUM(P44,P45,P46,P47,P48)</f>
        <v/>
      </c>
      <c r="Q338" s="8">
        <f>SUM(Q44,Q45,Q46,Q47,Q48)</f>
        <v/>
      </c>
      <c r="R338" s="8">
        <f>SUM(R44,R45,R46,R47,R48)</f>
        <v/>
      </c>
      <c r="S338" s="8">
        <f>SUM(S44,S45,S46,S47,S48)</f>
        <v/>
      </c>
      <c r="T338" s="8">
        <f>SUM(T44,T45,T46,T47,T48)</f>
        <v/>
      </c>
    </row>
    <row r="339">
      <c r="A339" s="8" t="n"/>
      <c r="B339" s="9" t="inlineStr">
        <is>
          <t>SUBTOTAL — DEPRECIACION ACUMULADA</t>
        </is>
      </c>
      <c r="C339" s="8">
        <f>SUM(C50,C51,C52,C53)</f>
        <v/>
      </c>
      <c r="D339" s="8">
        <f>SUM(D50,D51,D52,D53)</f>
        <v/>
      </c>
      <c r="E339" s="8">
        <f>SUM(E50,E51,E52,E53)</f>
        <v/>
      </c>
      <c r="F339" s="8">
        <f>SUM(F50,F51,F52,F53)</f>
        <v/>
      </c>
      <c r="G339" s="8">
        <f>SUM(G50,G51,G52,G53)</f>
        <v/>
      </c>
      <c r="H339" s="8">
        <f>SUM(H50,H51,H52,H53)</f>
        <v/>
      </c>
      <c r="I339" s="8">
        <f>SUM(I50,I51,I52,I53)</f>
        <v/>
      </c>
      <c r="J339" s="8">
        <f>SUM(J50,J51,J52,J53)</f>
        <v/>
      </c>
      <c r="K339" s="8">
        <f>SUM(K50,K51,K52,K53)</f>
        <v/>
      </c>
      <c r="L339" s="8">
        <f>SUM(L50,L51,L52,L53)</f>
        <v/>
      </c>
      <c r="M339" s="8">
        <f>SUM(M50,M51,M52,M53)</f>
        <v/>
      </c>
      <c r="N339" s="8">
        <f>SUM(N50,N51,N52,N53)</f>
        <v/>
      </c>
      <c r="O339" s="8">
        <f>SUM(O50,O51,O52,O53)</f>
        <v/>
      </c>
      <c r="P339" s="8">
        <f>SUM(P50,P51,P52,P53)</f>
        <v/>
      </c>
      <c r="Q339" s="8">
        <f>SUM(Q50,Q51,Q52,Q53)</f>
        <v/>
      </c>
      <c r="R339" s="8">
        <f>SUM(R50,R51,R52,R53)</f>
        <v/>
      </c>
      <c r="S339" s="8">
        <f>SUM(S50,S51,S52,S53)</f>
        <v/>
      </c>
      <c r="T339" s="8">
        <f>SUM(T50,T51,T52,T53)</f>
        <v/>
      </c>
    </row>
    <row r="340">
      <c r="A340" s="8" t="n"/>
      <c r="B340" s="9" t="inlineStr">
        <is>
          <t>SUBTOTAL — TERRENO</t>
        </is>
      </c>
      <c r="C340" s="8">
        <f>SUM(C59,C60,C61,C62,C63)</f>
        <v/>
      </c>
      <c r="D340" s="8">
        <f>SUM(D59,D60,D61,D62,D63)</f>
        <v/>
      </c>
      <c r="E340" s="8">
        <f>SUM(E59,E60,E61,E62,E63)</f>
        <v/>
      </c>
      <c r="F340" s="8">
        <f>SUM(F59,F60,F61,F62,F63)</f>
        <v/>
      </c>
      <c r="G340" s="8">
        <f>SUM(G59,G60,G61,G62,G63)</f>
        <v/>
      </c>
      <c r="H340" s="8">
        <f>SUM(H59,H60,H61,H62,H63)</f>
        <v/>
      </c>
      <c r="I340" s="8">
        <f>SUM(I59,I60,I61,I62,I63)</f>
        <v/>
      </c>
      <c r="J340" s="8">
        <f>SUM(J59,J60,J61,J62,J63)</f>
        <v/>
      </c>
      <c r="K340" s="8">
        <f>SUM(K59,K60,K61,K62,K63)</f>
        <v/>
      </c>
      <c r="L340" s="8">
        <f>SUM(L59,L60,L61,L62,L63)</f>
        <v/>
      </c>
      <c r="M340" s="8">
        <f>SUM(M59,M60,M61,M62,M63)</f>
        <v/>
      </c>
      <c r="N340" s="8">
        <f>SUM(N59,N60,N61,N62,N63)</f>
        <v/>
      </c>
      <c r="O340" s="8">
        <f>SUM(O59,O60,O61,O62,O63)</f>
        <v/>
      </c>
      <c r="P340" s="8">
        <f>SUM(P59,P60,P61,P62,P63)</f>
        <v/>
      </c>
      <c r="Q340" s="8">
        <f>SUM(Q59,Q60,Q61,Q62,Q63)</f>
        <v/>
      </c>
      <c r="R340" s="8">
        <f>SUM(R59,R60,R61,R62,R63)</f>
        <v/>
      </c>
      <c r="S340" s="8">
        <f>SUM(S59,S60,S61,S62,S63)</f>
        <v/>
      </c>
      <c r="T340" s="8">
        <f>SUM(T59,T60,T61,T62,T63)</f>
        <v/>
      </c>
    </row>
    <row r="341">
      <c r="A341" s="8" t="n"/>
      <c r="B341" s="9" t="inlineStr">
        <is>
          <t>SUBTOTAL — DERECHOS Y PERMISOS</t>
        </is>
      </c>
      <c r="C341" s="8">
        <f>SUM(C65,C66,C67)</f>
        <v/>
      </c>
      <c r="D341" s="8">
        <f>SUM(D65,D66,D67)</f>
        <v/>
      </c>
      <c r="E341" s="8">
        <f>SUM(E65,E66,E67)</f>
        <v/>
      </c>
      <c r="F341" s="8">
        <f>SUM(F65,F66,F67)</f>
        <v/>
      </c>
      <c r="G341" s="8">
        <f>SUM(G65,G66,G67)</f>
        <v/>
      </c>
      <c r="H341" s="8">
        <f>SUM(H65,H66,H67)</f>
        <v/>
      </c>
      <c r="I341" s="8">
        <f>SUM(I65,I66,I67)</f>
        <v/>
      </c>
      <c r="J341" s="8">
        <f>SUM(J65,J66,J67)</f>
        <v/>
      </c>
      <c r="K341" s="8">
        <f>SUM(K65,K66,K67)</f>
        <v/>
      </c>
      <c r="L341" s="8">
        <f>SUM(L65,L66,L67)</f>
        <v/>
      </c>
      <c r="M341" s="8">
        <f>SUM(M65,M66,M67)</f>
        <v/>
      </c>
      <c r="N341" s="8">
        <f>SUM(N65,N66,N67)</f>
        <v/>
      </c>
      <c r="O341" s="8">
        <f>SUM(O65,O66,O67)</f>
        <v/>
      </c>
      <c r="P341" s="8">
        <f>SUM(P65,P66,P67)</f>
        <v/>
      </c>
      <c r="Q341" s="8">
        <f>SUM(Q65,Q66,Q67)</f>
        <v/>
      </c>
      <c r="R341" s="8">
        <f>SUM(R65,R66,R67)</f>
        <v/>
      </c>
      <c r="S341" s="8">
        <f>SUM(S65,S66,S67)</f>
        <v/>
      </c>
      <c r="T341" s="8">
        <f>SUM(T65,T66,T67)</f>
        <v/>
      </c>
    </row>
    <row r="342">
      <c r="A342" s="8" t="n"/>
      <c r="B342" s="9" t="inlineStr">
        <is>
          <t>SUBTOTAL — EMPALMES</t>
        </is>
      </c>
      <c r="C342" s="8">
        <f>SUM(C69,C70)</f>
        <v/>
      </c>
      <c r="D342" s="8">
        <f>SUM(D69,D70)</f>
        <v/>
      </c>
      <c r="E342" s="8">
        <f>SUM(E69,E70)</f>
        <v/>
      </c>
      <c r="F342" s="8">
        <f>SUM(F69,F70)</f>
        <v/>
      </c>
      <c r="G342" s="8">
        <f>SUM(G69,G70)</f>
        <v/>
      </c>
      <c r="H342" s="8">
        <f>SUM(H69,H70)</f>
        <v/>
      </c>
      <c r="I342" s="8">
        <f>SUM(I69,I70)</f>
        <v/>
      </c>
      <c r="J342" s="8">
        <f>SUM(J69,J70)</f>
        <v/>
      </c>
      <c r="K342" s="8">
        <f>SUM(K69,K70)</f>
        <v/>
      </c>
      <c r="L342" s="8">
        <f>SUM(L69,L70)</f>
        <v/>
      </c>
      <c r="M342" s="8">
        <f>SUM(M69,M70)</f>
        <v/>
      </c>
      <c r="N342" s="8">
        <f>SUM(N69,N70)</f>
        <v/>
      </c>
      <c r="O342" s="8">
        <f>SUM(O69,O70)</f>
        <v/>
      </c>
      <c r="P342" s="8">
        <f>SUM(P69,P70)</f>
        <v/>
      </c>
      <c r="Q342" s="8">
        <f>SUM(Q69,Q70)</f>
        <v/>
      </c>
      <c r="R342" s="8">
        <f>SUM(R69,R70)</f>
        <v/>
      </c>
      <c r="S342" s="8">
        <f>SUM(S69,S70)</f>
        <v/>
      </c>
      <c r="T342" s="8">
        <f>SUM(T69,T70)</f>
        <v/>
      </c>
    </row>
    <row r="343">
      <c r="A343" s="8" t="n"/>
      <c r="B343" s="9" t="inlineStr">
        <is>
          <t>SUBTOTAL — HONORARIOS ESPECIALIDADES</t>
        </is>
      </c>
      <c r="C343" s="8">
        <f>SUM(C72,C73,C74,C75,C76,C77,C78,C79,C80,C81,C82,C83,C84,C85,C86,C87,C88,C89,C90,C91,C92)</f>
        <v/>
      </c>
      <c r="D343" s="8">
        <f>SUM(D72,D73,D74,D75,D76,D77,D78,D79,D80,D81,D82,D83,D84,D85,D86,D87,D88,D89,D90,D91,D92)</f>
        <v/>
      </c>
      <c r="E343" s="8">
        <f>SUM(E72,E73,E74,E75,E76,E77,E78,E79,E80,E81,E82,E83,E84,E85,E86,E87,E88,E89,E90,E91,E92)</f>
        <v/>
      </c>
      <c r="F343" s="8">
        <f>SUM(F72,F73,F74,F75,F76,F77,F78,F79,F80,F81,F82,F83,F84,F85,F86,F87,F88,F89,F90,F91,F92)</f>
        <v/>
      </c>
      <c r="G343" s="8">
        <f>SUM(G72,G73,G74,G75,G76,G77,G78,G79,G80,G81,G82,G83,G84,G85,G86,G87,G88,G89,G90,G91,G92)</f>
        <v/>
      </c>
      <c r="H343" s="8">
        <f>SUM(H72,H73,H74,H75,H76,H77,H78,H79,H80,H81,H82,H83,H84,H85,H86,H87,H88,H89,H90,H91,H92)</f>
        <v/>
      </c>
      <c r="I343" s="8">
        <f>SUM(I72,I73,I74,I75,I76,I77,I78,I79,I80,I81,I82,I83,I84,I85,I86,I87,I88,I89,I90,I91,I92)</f>
        <v/>
      </c>
      <c r="J343" s="8">
        <f>SUM(J72,J73,J74,J75,J76,J77,J78,J79,J80,J81,J82,J83,J84,J85,J86,J87,J88,J89,J90,J91,J92)</f>
        <v/>
      </c>
      <c r="K343" s="8">
        <f>SUM(K72,K73,K74,K75,K76,K77,K78,K79,K80,K81,K82,K83,K84,K85,K86,K87,K88,K89,K90,K91,K92)</f>
        <v/>
      </c>
      <c r="L343" s="8">
        <f>SUM(L72,L73,L74,L75,L76,L77,L78,L79,L80,L81,L82,L83,L84,L85,L86,L87,L88,L89,L90,L91,L92)</f>
        <v/>
      </c>
      <c r="M343" s="8">
        <f>SUM(M72,M73,M74,M75,M76,M77,M78,M79,M80,M81,M82,M83,M84,M85,M86,M87,M88,M89,M90,M91,M92)</f>
        <v/>
      </c>
      <c r="N343" s="8">
        <f>SUM(N72,N73,N74,N75,N76,N77,N78,N79,N80,N81,N82,N83,N84,N85,N86,N87,N88,N89,N90,N91,N92)</f>
        <v/>
      </c>
      <c r="O343" s="8">
        <f>SUM(O72,O73,O74,O75,O76,O77,O78,O79,O80,O81,O82,O83,O84,O85,O86,O87,O88,O89,O90,O91,O92)</f>
        <v/>
      </c>
      <c r="P343" s="8">
        <f>SUM(P72,P73,P74,P75,P76,P77,P78,P79,P80,P81,P82,P83,P84,P85,P86,P87,P88,P89,P90,P91,P92)</f>
        <v/>
      </c>
      <c r="Q343" s="8">
        <f>SUM(Q72,Q73,Q74,Q75,Q76,Q77,Q78,Q79,Q80,Q81,Q82,Q83,Q84,Q85,Q86,Q87,Q88,Q89,Q90,Q91,Q92)</f>
        <v/>
      </c>
      <c r="R343" s="8">
        <f>SUM(R72,R73,R74,R75,R76,R77,R78,R79,R80,R81,R82,R83,R84,R85,R86,R87,R88,R89,R90,R91,R92)</f>
        <v/>
      </c>
      <c r="S343" s="8">
        <f>SUM(S72,S73,S74,S75,S76,S77,S78,S79,S80,S81,S82,S83,S84,S85,S86,S87,S88,S89,S90,S91,S92)</f>
        <v/>
      </c>
      <c r="T343" s="8">
        <f>SUM(T72,T73,T74,T75,T76,T77,T78,T79,T80,T81,T82,T83,T84,T85,T86,T87,T88,T89,T90,T91,T92)</f>
        <v/>
      </c>
    </row>
    <row r="344">
      <c r="A344" s="8" t="n"/>
      <c r="B344" s="9" t="inlineStr">
        <is>
          <t>SUBTOTAL — CONSTRUCCION Y URBANIZACION</t>
        </is>
      </c>
      <c r="C344" s="8">
        <f>SUM(C94,C95,C96,C97,C98,C99,C100)</f>
        <v/>
      </c>
      <c r="D344" s="8">
        <f>SUM(D94,D95,D96,D97,D98,D99,D100)</f>
        <v/>
      </c>
      <c r="E344" s="8">
        <f>SUM(E94,E95,E96,E97,E98,E99,E100)</f>
        <v/>
      </c>
      <c r="F344" s="8">
        <f>SUM(F94,F95,F96,F97,F98,F99,F100)</f>
        <v/>
      </c>
      <c r="G344" s="8">
        <f>SUM(G94,G95,G96,G97,G98,G99,G100)</f>
        <v/>
      </c>
      <c r="H344" s="8">
        <f>SUM(H94,H95,H96,H97,H98,H99,H100)</f>
        <v/>
      </c>
      <c r="I344" s="8">
        <f>SUM(I94,I95,I96,I97,I98,I99,I100)</f>
        <v/>
      </c>
      <c r="J344" s="8">
        <f>SUM(J94,J95,J96,J97,J98,J99,J100)</f>
        <v/>
      </c>
      <c r="K344" s="8">
        <f>SUM(K94,K95,K96,K97,K98,K99,K100)</f>
        <v/>
      </c>
      <c r="L344" s="8">
        <f>SUM(L94,L95,L96,L97,L98,L99,L100)</f>
        <v/>
      </c>
      <c r="M344" s="8">
        <f>SUM(M94,M95,M96,M97,M98,M99,M100)</f>
        <v/>
      </c>
      <c r="N344" s="8">
        <f>SUM(N94,N95,N96,N97,N98,N99,N100)</f>
        <v/>
      </c>
      <c r="O344" s="8">
        <f>SUM(O94,O95,O96,O97,O98,O99,O100)</f>
        <v/>
      </c>
      <c r="P344" s="8">
        <f>SUM(P94,P95,P96,P97,P98,P99,P100)</f>
        <v/>
      </c>
      <c r="Q344" s="8">
        <f>SUM(Q94,Q95,Q96,Q97,Q98,Q99,Q100)</f>
        <v/>
      </c>
      <c r="R344" s="8">
        <f>SUM(R94,R95,R96,R97,R98,R99,R100)</f>
        <v/>
      </c>
      <c r="S344" s="8">
        <f>SUM(S94,S95,S96,S97,S98,S99,S100)</f>
        <v/>
      </c>
      <c r="T344" s="8">
        <f>SUM(T94,T95,T96,T97,T98,T99,T100)</f>
        <v/>
      </c>
    </row>
    <row r="345">
      <c r="A345" s="8" t="n"/>
      <c r="B345" s="9" t="inlineStr">
        <is>
          <t>SUBTOTAL — TRASPASOS</t>
        </is>
      </c>
      <c r="C345" s="8">
        <f>SUM(C152,C153)</f>
        <v/>
      </c>
      <c r="D345" s="8">
        <f>SUM(D152,D153)</f>
        <v/>
      </c>
      <c r="E345" s="8">
        <f>SUM(E152,E153)</f>
        <v/>
      </c>
      <c r="F345" s="8">
        <f>SUM(F152,F153)</f>
        <v/>
      </c>
      <c r="G345" s="8">
        <f>SUM(G152,G153)</f>
        <v/>
      </c>
      <c r="H345" s="8">
        <f>SUM(H152,H153)</f>
        <v/>
      </c>
      <c r="I345" s="8">
        <f>SUM(I152,I153)</f>
        <v/>
      </c>
      <c r="J345" s="8">
        <f>SUM(J152,J153)</f>
        <v/>
      </c>
      <c r="K345" s="8">
        <f>SUM(K152,K153)</f>
        <v/>
      </c>
      <c r="L345" s="8">
        <f>SUM(L152,L153)</f>
        <v/>
      </c>
      <c r="M345" s="8">
        <f>SUM(M152,M153)</f>
        <v/>
      </c>
      <c r="N345" s="8">
        <f>SUM(N152,N153)</f>
        <v/>
      </c>
      <c r="O345" s="8">
        <f>SUM(O152,O153)</f>
        <v/>
      </c>
      <c r="P345" s="8">
        <f>SUM(P152,P153)</f>
        <v/>
      </c>
      <c r="Q345" s="8">
        <f>SUM(Q152,Q153)</f>
        <v/>
      </c>
      <c r="R345" s="8">
        <f>SUM(R152,R153)</f>
        <v/>
      </c>
      <c r="S345" s="8">
        <f>SUM(S152,S153)</f>
        <v/>
      </c>
      <c r="T345" s="8">
        <f>SUM(T152,T153)</f>
        <v/>
      </c>
    </row>
    <row r="346">
      <c r="A346" s="8" t="n"/>
      <c r="B346" s="9" t="inlineStr">
        <is>
          <t>SUBTOTAL — EXISTENCIA DE INMUEBLES</t>
        </is>
      </c>
      <c r="C346" s="8">
        <f>SUM(C104,C105,C106,C107,C108,C109)</f>
        <v/>
      </c>
      <c r="D346" s="8">
        <f>SUM(D104,D105,D106,D107,D108,D109)</f>
        <v/>
      </c>
      <c r="E346" s="8">
        <f>SUM(E104,E105,E106,E107,E108,E109)</f>
        <v/>
      </c>
      <c r="F346" s="8">
        <f>SUM(F104,F105,F106,F107,F108,F109)</f>
        <v/>
      </c>
      <c r="G346" s="8">
        <f>SUM(G104,G105,G106,G107,G108,G109)</f>
        <v/>
      </c>
      <c r="H346" s="8">
        <f>SUM(H104,H105,H106,H107,H108,H109)</f>
        <v/>
      </c>
      <c r="I346" s="8">
        <f>SUM(I104,I105,I106,I107,I108,I109)</f>
        <v/>
      </c>
      <c r="J346" s="8">
        <f>SUM(J104,J105,J106,J107,J108,J109)</f>
        <v/>
      </c>
      <c r="K346" s="8">
        <f>SUM(K104,K105,K106,K107,K108,K109)</f>
        <v/>
      </c>
      <c r="L346" s="8">
        <f>SUM(L104,L105,L106,L107,L108,L109)</f>
        <v/>
      </c>
      <c r="M346" s="8">
        <f>SUM(M104,M105,M106,M107,M108,M109)</f>
        <v/>
      </c>
      <c r="N346" s="8">
        <f>SUM(N104,N105,N106,N107,N108,N109)</f>
        <v/>
      </c>
      <c r="O346" s="8">
        <f>SUM(O104,O105,O106,O107,O108,O109)</f>
        <v/>
      </c>
      <c r="P346" s="8">
        <f>SUM(P104,P105,P106,P107,P108,P109)</f>
        <v/>
      </c>
      <c r="Q346" s="8">
        <f>SUM(Q104,Q105,Q106,Q107,Q108,Q109)</f>
        <v/>
      </c>
      <c r="R346" s="8">
        <f>SUM(R104,R105,R106,R107,R108,R109)</f>
        <v/>
      </c>
      <c r="S346" s="8">
        <f>SUM(S104,S105,S106,S107,S108,S109)</f>
        <v/>
      </c>
      <c r="T346" s="8">
        <f>SUM(T104,T105,T106,T107,T108,T109)</f>
        <v/>
      </c>
    </row>
    <row r="347">
      <c r="A347" s="8" t="n"/>
      <c r="B347" s="9" t="inlineStr">
        <is>
          <t>SUBTOTAL — MARKETING</t>
        </is>
      </c>
      <c r="C347" s="8">
        <f>SUM(C113,C114,C115,C116,C117,C118)</f>
        <v/>
      </c>
      <c r="D347" s="8">
        <f>SUM(D113,D114,D115,D116,D117,D118)</f>
        <v/>
      </c>
      <c r="E347" s="8">
        <f>SUM(E113,E114,E115,E116,E117,E118)</f>
        <v/>
      </c>
      <c r="F347" s="8">
        <f>SUM(F113,F114,F115,F116,F117,F118)</f>
        <v/>
      </c>
      <c r="G347" s="8">
        <f>SUM(G113,G114,G115,G116,G117,G118)</f>
        <v/>
      </c>
      <c r="H347" s="8">
        <f>SUM(H113,H114,H115,H116,H117,H118)</f>
        <v/>
      </c>
      <c r="I347" s="8">
        <f>SUM(I113,I114,I115,I116,I117,I118)</f>
        <v/>
      </c>
      <c r="J347" s="8">
        <f>SUM(J113,J114,J115,J116,J117,J118)</f>
        <v/>
      </c>
      <c r="K347" s="8">
        <f>SUM(K113,K114,K115,K116,K117,K118)</f>
        <v/>
      </c>
      <c r="L347" s="8">
        <f>SUM(L113,L114,L115,L116,L117,L118)</f>
        <v/>
      </c>
      <c r="M347" s="8">
        <f>SUM(M113,M114,M115,M116,M117,M118)</f>
        <v/>
      </c>
      <c r="N347" s="8">
        <f>SUM(N113,N114,N115,N116,N117,N118)</f>
        <v/>
      </c>
      <c r="O347" s="8">
        <f>SUM(O113,O114,O115,O116,O117,O118)</f>
        <v/>
      </c>
      <c r="P347" s="8">
        <f>SUM(P113,P114,P115,P116,P117,P118)</f>
        <v/>
      </c>
      <c r="Q347" s="8">
        <f>SUM(Q113,Q114,Q115,Q116,Q117,Q118)</f>
        <v/>
      </c>
      <c r="R347" s="8">
        <f>SUM(R113,R114,R115,R116,R117,R118)</f>
        <v/>
      </c>
      <c r="S347" s="8">
        <f>SUM(S113,S114,S115,S116,S117,S118)</f>
        <v/>
      </c>
      <c r="T347" s="8">
        <f>SUM(T113,T114,T115,T116,T117,T118)</f>
        <v/>
      </c>
    </row>
    <row r="348">
      <c r="A348" s="8" t="n"/>
      <c r="B348" s="9" t="inlineStr">
        <is>
          <t>SUBTOTAL — PILOTO Y SALA DE VENTA</t>
        </is>
      </c>
      <c r="C348" s="8">
        <f>SUM(C120,C121,C122,C123,C124,C125,C126,C127,C128,C129)</f>
        <v/>
      </c>
      <c r="D348" s="8">
        <f>SUM(D120,D121,D122,D123,D124,D125,D126,D127,D128,D129)</f>
        <v/>
      </c>
      <c r="E348" s="8">
        <f>SUM(E120,E121,E122,E123,E124,E125,E126,E127,E128,E129)</f>
        <v/>
      </c>
      <c r="F348" s="8">
        <f>SUM(F120,F121,F122,F123,F124,F125,F126,F127,F128,F129)</f>
        <v/>
      </c>
      <c r="G348" s="8">
        <f>SUM(G120,G121,G122,G123,G124,G125,G126,G127,G128,G129)</f>
        <v/>
      </c>
      <c r="H348" s="8">
        <f>SUM(H120,H121,H122,H123,H124,H125,H126,H127,H128,H129)</f>
        <v/>
      </c>
      <c r="I348" s="8">
        <f>SUM(I120,I121,I122,I123,I124,I125,I126,I127,I128,I129)</f>
        <v/>
      </c>
      <c r="J348" s="8">
        <f>SUM(J120,J121,J122,J123,J124,J125,J126,J127,J128,J129)</f>
        <v/>
      </c>
      <c r="K348" s="8">
        <f>SUM(K120,K121,K122,K123,K124,K125,K126,K127,K128,K129)</f>
        <v/>
      </c>
      <c r="L348" s="8">
        <f>SUM(L120,L121,L122,L123,L124,L125,L126,L127,L128,L129)</f>
        <v/>
      </c>
      <c r="M348" s="8">
        <f>SUM(M120,M121,M122,M123,M124,M125,M126,M127,M128,M129)</f>
        <v/>
      </c>
      <c r="N348" s="8">
        <f>SUM(N120,N121,N122,N123,N124,N125,N126,N127,N128,N129)</f>
        <v/>
      </c>
      <c r="O348" s="8">
        <f>SUM(O120,O121,O122,O123,O124,O125,O126,O127,O128,O129)</f>
        <v/>
      </c>
      <c r="P348" s="8">
        <f>SUM(P120,P121,P122,P123,P124,P125,P126,P127,P128,P129)</f>
        <v/>
      </c>
      <c r="Q348" s="8">
        <f>SUM(Q120,Q121,Q122,Q123,Q124,Q125,Q126,Q127,Q128,Q129)</f>
        <v/>
      </c>
      <c r="R348" s="8">
        <f>SUM(R120,R121,R122,R123,R124,R125,R126,R127,R128,R129)</f>
        <v/>
      </c>
      <c r="S348" s="8">
        <f>SUM(S120,S121,S122,S123,S124,S125,S126,S127,S128,S129)</f>
        <v/>
      </c>
      <c r="T348" s="8">
        <f>SUM(T120,T121,T122,T123,T124,T125,T126,T127,T128,T129)</f>
        <v/>
      </c>
    </row>
    <row r="349">
      <c r="A349" s="8" t="n"/>
      <c r="B349" s="9" t="inlineStr">
        <is>
          <t>SUBTOTAL — COMERCIALIZACION</t>
        </is>
      </c>
      <c r="C349" s="8">
        <f>SUM(C131)</f>
        <v/>
      </c>
      <c r="D349" s="8">
        <f>SUM(D131)</f>
        <v/>
      </c>
      <c r="E349" s="8">
        <f>SUM(E131)</f>
        <v/>
      </c>
      <c r="F349" s="8">
        <f>SUM(F131)</f>
        <v/>
      </c>
      <c r="G349" s="8">
        <f>SUM(G131)</f>
        <v/>
      </c>
      <c r="H349" s="8">
        <f>SUM(H131)</f>
        <v/>
      </c>
      <c r="I349" s="8">
        <f>SUM(I131)</f>
        <v/>
      </c>
      <c r="J349" s="8">
        <f>SUM(J131)</f>
        <v/>
      </c>
      <c r="K349" s="8">
        <f>SUM(K131)</f>
        <v/>
      </c>
      <c r="L349" s="8">
        <f>SUM(L131)</f>
        <v/>
      </c>
      <c r="M349" s="8">
        <f>SUM(M131)</f>
        <v/>
      </c>
      <c r="N349" s="8">
        <f>SUM(N131)</f>
        <v/>
      </c>
      <c r="O349" s="8">
        <f>SUM(O131)</f>
        <v/>
      </c>
      <c r="P349" s="8">
        <f>SUM(P131)</f>
        <v/>
      </c>
      <c r="Q349" s="8">
        <f>SUM(Q131)</f>
        <v/>
      </c>
      <c r="R349" s="8">
        <f>SUM(R131)</f>
        <v/>
      </c>
      <c r="S349" s="8">
        <f>SUM(S131)</f>
        <v/>
      </c>
      <c r="T349" s="8">
        <f>SUM(T131)</f>
        <v/>
      </c>
    </row>
    <row r="350">
      <c r="A350" s="8" t="n"/>
      <c r="B350" s="9" t="inlineStr">
        <is>
          <t>SUBTOTAL — ASESORIA PROYECTO</t>
        </is>
      </c>
      <c r="C350" s="8">
        <f>SUM(C133)</f>
        <v/>
      </c>
      <c r="D350" s="8">
        <f>SUM(D133)</f>
        <v/>
      </c>
      <c r="E350" s="8">
        <f>SUM(E133)</f>
        <v/>
      </c>
      <c r="F350" s="8">
        <f>SUM(F133)</f>
        <v/>
      </c>
      <c r="G350" s="8">
        <f>SUM(G133)</f>
        <v/>
      </c>
      <c r="H350" s="8">
        <f>SUM(H133)</f>
        <v/>
      </c>
      <c r="I350" s="8">
        <f>SUM(I133)</f>
        <v/>
      </c>
      <c r="J350" s="8">
        <f>SUM(J133)</f>
        <v/>
      </c>
      <c r="K350" s="8">
        <f>SUM(K133)</f>
        <v/>
      </c>
      <c r="L350" s="8">
        <f>SUM(L133)</f>
        <v/>
      </c>
      <c r="M350" s="8">
        <f>SUM(M133)</f>
        <v/>
      </c>
      <c r="N350" s="8">
        <f>SUM(N133)</f>
        <v/>
      </c>
      <c r="O350" s="8">
        <f>SUM(O133)</f>
        <v/>
      </c>
      <c r="P350" s="8">
        <f>SUM(P133)</f>
        <v/>
      </c>
      <c r="Q350" s="8">
        <f>SUM(Q133)</f>
        <v/>
      </c>
      <c r="R350" s="8">
        <f>SUM(R133)</f>
        <v/>
      </c>
      <c r="S350" s="8">
        <f>SUM(S133)</f>
        <v/>
      </c>
      <c r="T350" s="8">
        <f>SUM(T133)</f>
        <v/>
      </c>
    </row>
    <row r="351">
      <c r="A351" s="8" t="n"/>
      <c r="B351" s="9" t="inlineStr">
        <is>
          <t>SUBTOTAL — IMPREVISTOS</t>
        </is>
      </c>
      <c r="C351" s="8">
        <f>SUM(C135,C136,C137)</f>
        <v/>
      </c>
      <c r="D351" s="8">
        <f>SUM(D135,D136,D137)</f>
        <v/>
      </c>
      <c r="E351" s="8">
        <f>SUM(E135,E136,E137)</f>
        <v/>
      </c>
      <c r="F351" s="8">
        <f>SUM(F135,F136,F137)</f>
        <v/>
      </c>
      <c r="G351" s="8">
        <f>SUM(G135,G136,G137)</f>
        <v/>
      </c>
      <c r="H351" s="8">
        <f>SUM(H135,H136,H137)</f>
        <v/>
      </c>
      <c r="I351" s="8">
        <f>SUM(I135,I136,I137)</f>
        <v/>
      </c>
      <c r="J351" s="8">
        <f>SUM(J135,J136,J137)</f>
        <v/>
      </c>
      <c r="K351" s="8">
        <f>SUM(K135,K136,K137)</f>
        <v/>
      </c>
      <c r="L351" s="8">
        <f>SUM(L135,L136,L137)</f>
        <v/>
      </c>
      <c r="M351" s="8">
        <f>SUM(M135,M136,M137)</f>
        <v/>
      </c>
      <c r="N351" s="8">
        <f>SUM(N135,N136,N137)</f>
        <v/>
      </c>
      <c r="O351" s="8">
        <f>SUM(O135,O136,O137)</f>
        <v/>
      </c>
      <c r="P351" s="8">
        <f>SUM(P135,P136,P137)</f>
        <v/>
      </c>
      <c r="Q351" s="8">
        <f>SUM(Q135,Q136,Q137)</f>
        <v/>
      </c>
      <c r="R351" s="8">
        <f>SUM(R135,R136,R137)</f>
        <v/>
      </c>
      <c r="S351" s="8">
        <f>SUM(S135,S136,S137)</f>
        <v/>
      </c>
      <c r="T351" s="8">
        <f>SUM(T135,T136,T137)</f>
        <v/>
      </c>
    </row>
    <row r="352">
      <c r="A352" s="8" t="n"/>
      <c r="B352" s="9" t="inlineStr">
        <is>
          <t>SUBTOTAL — GASTOS FINANCIEROS</t>
        </is>
      </c>
      <c r="C352" s="8">
        <f>SUM(C139,C140,C141,C142,C143,C144,C145,C146)</f>
        <v/>
      </c>
      <c r="D352" s="8">
        <f>SUM(D139,D140,D141,D142,D143,D144,D145,D146)</f>
        <v/>
      </c>
      <c r="E352" s="8">
        <f>SUM(E139,E140,E141,E142,E143,E144,E145,E146)</f>
        <v/>
      </c>
      <c r="F352" s="8">
        <f>SUM(F139,F140,F141,F142,F143,F144,F145,F146)</f>
        <v/>
      </c>
      <c r="G352" s="8">
        <f>SUM(G139,G140,G141,G142,G143,G144,G145,G146)</f>
        <v/>
      </c>
      <c r="H352" s="8">
        <f>SUM(H139,H140,H141,H142,H143,H144,H145,H146)</f>
        <v/>
      </c>
      <c r="I352" s="8">
        <f>SUM(I139,I140,I141,I142,I143,I144,I145,I146)</f>
        <v/>
      </c>
      <c r="J352" s="8">
        <f>SUM(J139,J140,J141,J142,J143,J144,J145,J146)</f>
        <v/>
      </c>
      <c r="K352" s="8">
        <f>SUM(K139,K140,K141,K142,K143,K144,K145,K146)</f>
        <v/>
      </c>
      <c r="L352" s="8">
        <f>SUM(L139,L140,L141,L142,L143,L144,L145,L146)</f>
        <v/>
      </c>
      <c r="M352" s="8">
        <f>SUM(M139,M140,M141,M142,M143,M144,M145,M146)</f>
        <v/>
      </c>
      <c r="N352" s="8">
        <f>SUM(N139,N140,N141,N142,N143,N144,N145,N146)</f>
        <v/>
      </c>
      <c r="O352" s="8">
        <f>SUM(O139,O140,O141,O142,O143,O144,O145,O146)</f>
        <v/>
      </c>
      <c r="P352" s="8">
        <f>SUM(P139,P140,P141,P142,P143,P144,P145,P146)</f>
        <v/>
      </c>
      <c r="Q352" s="8">
        <f>SUM(Q139,Q140,Q141,Q142,Q143,Q144,Q145,Q146)</f>
        <v/>
      </c>
      <c r="R352" s="8">
        <f>SUM(R139,R140,R141,R142,R143,R144,R145,R146)</f>
        <v/>
      </c>
      <c r="S352" s="8">
        <f>SUM(S139,S140,S141,S142,S143,S144,S145,S146)</f>
        <v/>
      </c>
      <c r="T352" s="8">
        <f>SUM(T139,T140,T141,T142,T143,T144,T145,T146)</f>
        <v/>
      </c>
    </row>
    <row r="353">
      <c r="A353" s="8" t="n"/>
      <c r="B353" s="9" t="inlineStr">
        <is>
          <t>SUBTOTAL — GASTOS GENERALES</t>
        </is>
      </c>
      <c r="C353" s="8">
        <f>SUM(C148,C149,C150)</f>
        <v/>
      </c>
      <c r="D353" s="8">
        <f>SUM(D148,D149,D150)</f>
        <v/>
      </c>
      <c r="E353" s="8">
        <f>SUM(E148,E149,E150)</f>
        <v/>
      </c>
      <c r="F353" s="8">
        <f>SUM(F148,F149,F150)</f>
        <v/>
      </c>
      <c r="G353" s="8">
        <f>SUM(G148,G149,G150)</f>
        <v/>
      </c>
      <c r="H353" s="8">
        <f>SUM(H148,H149,H150)</f>
        <v/>
      </c>
      <c r="I353" s="8">
        <f>SUM(I148,I149,I150)</f>
        <v/>
      </c>
      <c r="J353" s="8">
        <f>SUM(J148,J149,J150)</f>
        <v/>
      </c>
      <c r="K353" s="8">
        <f>SUM(K148,K149,K150)</f>
        <v/>
      </c>
      <c r="L353" s="8">
        <f>SUM(L148,L149,L150)</f>
        <v/>
      </c>
      <c r="M353" s="8">
        <f>SUM(M148,M149,M150)</f>
        <v/>
      </c>
      <c r="N353" s="8">
        <f>SUM(N148,N149,N150)</f>
        <v/>
      </c>
      <c r="O353" s="8">
        <f>SUM(O148,O149,O150)</f>
        <v/>
      </c>
      <c r="P353" s="8">
        <f>SUM(P148,P149,P150)</f>
        <v/>
      </c>
      <c r="Q353" s="8">
        <f>SUM(Q148,Q149,Q150)</f>
        <v/>
      </c>
      <c r="R353" s="8">
        <f>SUM(R148,R149,R150)</f>
        <v/>
      </c>
      <c r="S353" s="8">
        <f>SUM(S148,S149,S150)</f>
        <v/>
      </c>
      <c r="T353" s="8">
        <f>SUM(T148,T149,T150)</f>
        <v/>
      </c>
    </row>
    <row r="354">
      <c r="A354" s="8" t="n"/>
      <c r="B354" s="9" t="inlineStr">
        <is>
          <t>SUBTOTAL — GASTOS DE VENTAS</t>
        </is>
      </c>
      <c r="C354" s="8">
        <f>SUM(C155,C156)</f>
        <v/>
      </c>
      <c r="D354" s="8">
        <f>SUM(D155,D156)</f>
        <v/>
      </c>
      <c r="E354" s="8">
        <f>SUM(E155,E156)</f>
        <v/>
      </c>
      <c r="F354" s="8">
        <f>SUM(F155,F156)</f>
        <v/>
      </c>
      <c r="G354" s="8">
        <f>SUM(G155,G156)</f>
        <v/>
      </c>
      <c r="H354" s="8">
        <f>SUM(H155,H156)</f>
        <v/>
      </c>
      <c r="I354" s="8">
        <f>SUM(I155,I156)</f>
        <v/>
      </c>
      <c r="J354" s="8">
        <f>SUM(J155,J156)</f>
        <v/>
      </c>
      <c r="K354" s="8">
        <f>SUM(K155,K156)</f>
        <v/>
      </c>
      <c r="L354" s="8">
        <f>SUM(L155,L156)</f>
        <v/>
      </c>
      <c r="M354" s="8">
        <f>SUM(M155,M156)</f>
        <v/>
      </c>
      <c r="N354" s="8">
        <f>SUM(N155,N156)</f>
        <v/>
      </c>
      <c r="O354" s="8">
        <f>SUM(O155,O156)</f>
        <v/>
      </c>
      <c r="P354" s="8">
        <f>SUM(P155,P156)</f>
        <v/>
      </c>
      <c r="Q354" s="8">
        <f>SUM(Q155,Q156)</f>
        <v/>
      </c>
      <c r="R354" s="8">
        <f>SUM(R155,R156)</f>
        <v/>
      </c>
      <c r="S354" s="8">
        <f>SUM(S155,S156)</f>
        <v/>
      </c>
      <c r="T354" s="8">
        <f>SUM(T155,T156)</f>
        <v/>
      </c>
    </row>
    <row r="355">
      <c r="A355" s="8" t="n"/>
      <c r="B355" s="9" t="inlineStr">
        <is>
          <t>SUBTOTAL — INTERESES DIFERIDOS</t>
        </is>
      </c>
      <c r="C355" s="8">
        <f>SUM(C158)</f>
        <v/>
      </c>
      <c r="D355" s="8">
        <f>SUM(D158)</f>
        <v/>
      </c>
      <c r="E355" s="8">
        <f>SUM(E158)</f>
        <v/>
      </c>
      <c r="F355" s="8">
        <f>SUM(F158)</f>
        <v/>
      </c>
      <c r="G355" s="8">
        <f>SUM(G158)</f>
        <v/>
      </c>
      <c r="H355" s="8">
        <f>SUM(H158)</f>
        <v/>
      </c>
      <c r="I355" s="8">
        <f>SUM(I158)</f>
        <v/>
      </c>
      <c r="J355" s="8">
        <f>SUM(J158)</f>
        <v/>
      </c>
      <c r="K355" s="8">
        <f>SUM(K158)</f>
        <v/>
      </c>
      <c r="L355" s="8">
        <f>SUM(L158)</f>
        <v/>
      </c>
      <c r="M355" s="8">
        <f>SUM(M158)</f>
        <v/>
      </c>
      <c r="N355" s="8">
        <f>SUM(N158)</f>
        <v/>
      </c>
      <c r="O355" s="8">
        <f>SUM(O158)</f>
        <v/>
      </c>
      <c r="P355" s="8">
        <f>SUM(P158)</f>
        <v/>
      </c>
      <c r="Q355" s="8">
        <f>SUM(Q158)</f>
        <v/>
      </c>
      <c r="R355" s="8">
        <f>SUM(R158)</f>
        <v/>
      </c>
      <c r="S355" s="8">
        <f>SUM(S158)</f>
        <v/>
      </c>
      <c r="T355" s="8">
        <f>SUM(T158)</f>
        <v/>
      </c>
    </row>
    <row r="356">
      <c r="A356" s="8" t="n"/>
      <c r="B356" s="9" t="inlineStr">
        <is>
          <t>SUBTOTAL — LINEAS DE CREDITO</t>
        </is>
      </c>
      <c r="C356" s="8">
        <f>SUM(C163)</f>
        <v/>
      </c>
      <c r="D356" s="8">
        <f>SUM(D163)</f>
        <v/>
      </c>
      <c r="E356" s="8">
        <f>SUM(E163)</f>
        <v/>
      </c>
      <c r="F356" s="8">
        <f>SUM(F163)</f>
        <v/>
      </c>
      <c r="G356" s="8">
        <f>SUM(G163)</f>
        <v/>
      </c>
      <c r="H356" s="8">
        <f>SUM(H163)</f>
        <v/>
      </c>
      <c r="I356" s="8">
        <f>SUM(I163)</f>
        <v/>
      </c>
      <c r="J356" s="8">
        <f>SUM(J163)</f>
        <v/>
      </c>
      <c r="K356" s="8">
        <f>SUM(K163)</f>
        <v/>
      </c>
      <c r="L356" s="8">
        <f>SUM(L163)</f>
        <v/>
      </c>
      <c r="M356" s="8">
        <f>SUM(M163)</f>
        <v/>
      </c>
      <c r="N356" s="8">
        <f>SUM(N163)</f>
        <v/>
      </c>
      <c r="O356" s="8">
        <f>SUM(O163)</f>
        <v/>
      </c>
      <c r="P356" s="8">
        <f>SUM(P163)</f>
        <v/>
      </c>
      <c r="Q356" s="8">
        <f>SUM(Q163)</f>
        <v/>
      </c>
      <c r="R356" s="8">
        <f>SUM(R163)</f>
        <v/>
      </c>
      <c r="S356" s="8">
        <f>SUM(S163)</f>
        <v/>
      </c>
      <c r="T356" s="8">
        <f>SUM(T163)</f>
        <v/>
      </c>
    </row>
    <row r="357">
      <c r="A357" s="8" t="n"/>
      <c r="B357" s="9" t="inlineStr">
        <is>
          <t>SUBTOTAL — OBLIG. CON BCOS E INST FINANCIERAS</t>
        </is>
      </c>
      <c r="C357" s="8">
        <f>SUM(C165,C166)</f>
        <v/>
      </c>
      <c r="D357" s="8">
        <f>SUM(D165,D166)</f>
        <v/>
      </c>
      <c r="E357" s="8">
        <f>SUM(E165,E166)</f>
        <v/>
      </c>
      <c r="F357" s="8">
        <f>SUM(F165,F166)</f>
        <v/>
      </c>
      <c r="G357" s="8">
        <f>SUM(G165,G166)</f>
        <v/>
      </c>
      <c r="H357" s="8">
        <f>SUM(H165,H166)</f>
        <v/>
      </c>
      <c r="I357" s="8">
        <f>SUM(I165,I166)</f>
        <v/>
      </c>
      <c r="J357" s="8">
        <f>SUM(J165,J166)</f>
        <v/>
      </c>
      <c r="K357" s="8">
        <f>SUM(K165,K166)</f>
        <v/>
      </c>
      <c r="L357" s="8">
        <f>SUM(L165,L166)</f>
        <v/>
      </c>
      <c r="M357" s="8">
        <f>SUM(M165,M166)</f>
        <v/>
      </c>
      <c r="N357" s="8">
        <f>SUM(N165,N166)</f>
        <v/>
      </c>
      <c r="O357" s="8">
        <f>SUM(O165,O166)</f>
        <v/>
      </c>
      <c r="P357" s="8">
        <f>SUM(P165,P166)</f>
        <v/>
      </c>
      <c r="Q357" s="8">
        <f>SUM(Q165,Q166)</f>
        <v/>
      </c>
      <c r="R357" s="8">
        <f>SUM(R165,R166)</f>
        <v/>
      </c>
      <c r="S357" s="8">
        <f>SUM(S165,S166)</f>
        <v/>
      </c>
      <c r="T357" s="8">
        <f>SUM(T165,T166)</f>
        <v/>
      </c>
    </row>
    <row r="358">
      <c r="A358" s="8" t="n"/>
      <c r="B358" s="9" t="inlineStr">
        <is>
          <t>SUBTOTAL — CUENTAS POR PAGAR</t>
        </is>
      </c>
      <c r="C358" s="8">
        <f>SUM(C168,C169,C170)</f>
        <v/>
      </c>
      <c r="D358" s="8">
        <f>SUM(D168,D169,D170)</f>
        <v/>
      </c>
      <c r="E358" s="8">
        <f>SUM(E168,E169,E170)</f>
        <v/>
      </c>
      <c r="F358" s="8">
        <f>SUM(F168,F169,F170)</f>
        <v/>
      </c>
      <c r="G358" s="8">
        <f>SUM(G168,G169,G170)</f>
        <v/>
      </c>
      <c r="H358" s="8">
        <f>SUM(H168,H169,H170)</f>
        <v/>
      </c>
      <c r="I358" s="8">
        <f>SUM(I168,I169,I170)</f>
        <v/>
      </c>
      <c r="J358" s="8">
        <f>SUM(J168,J169,J170)</f>
        <v/>
      </c>
      <c r="K358" s="8">
        <f>SUM(K168,K169,K170)</f>
        <v/>
      </c>
      <c r="L358" s="8">
        <f>SUM(L168,L169,L170)</f>
        <v/>
      </c>
      <c r="M358" s="8">
        <f>SUM(M168,M169,M170)</f>
        <v/>
      </c>
      <c r="N358" s="8">
        <f>SUM(N168,N169,N170)</f>
        <v/>
      </c>
      <c r="O358" s="8">
        <f>SUM(O168,O169,O170)</f>
        <v/>
      </c>
      <c r="P358" s="8">
        <f>SUM(P168,P169,P170)</f>
        <v/>
      </c>
      <c r="Q358" s="8">
        <f>SUM(Q168,Q169,Q170)</f>
        <v/>
      </c>
      <c r="R358" s="8">
        <f>SUM(R168,R169,R170)</f>
        <v/>
      </c>
      <c r="S358" s="8">
        <f>SUM(S168,S169,S170)</f>
        <v/>
      </c>
      <c r="T358" s="8">
        <f>SUM(T168,T169,T170)</f>
        <v/>
      </c>
    </row>
    <row r="359">
      <c r="A359" s="8" t="n"/>
      <c r="B359" s="9" t="inlineStr">
        <is>
          <t>SUBTOTAL — ACREEDORES VARIOS</t>
        </is>
      </c>
      <c r="C359" s="8">
        <f>SUM(C172,C173)</f>
        <v/>
      </c>
      <c r="D359" s="8">
        <f>SUM(D172,D173)</f>
        <v/>
      </c>
      <c r="E359" s="8">
        <f>SUM(E172,E173)</f>
        <v/>
      </c>
      <c r="F359" s="8">
        <f>SUM(F172,F173)</f>
        <v/>
      </c>
      <c r="G359" s="8">
        <f>SUM(G172,G173)</f>
        <v/>
      </c>
      <c r="H359" s="8">
        <f>SUM(H172,H173)</f>
        <v/>
      </c>
      <c r="I359" s="8">
        <f>SUM(I172,I173)</f>
        <v/>
      </c>
      <c r="J359" s="8">
        <f>SUM(J172,J173)</f>
        <v/>
      </c>
      <c r="K359" s="8">
        <f>SUM(K172,K173)</f>
        <v/>
      </c>
      <c r="L359" s="8">
        <f>SUM(L172,L173)</f>
        <v/>
      </c>
      <c r="M359" s="8">
        <f>SUM(M172,M173)</f>
        <v/>
      </c>
      <c r="N359" s="8">
        <f>SUM(N172,N173)</f>
        <v/>
      </c>
      <c r="O359" s="8">
        <f>SUM(O172,O173)</f>
        <v/>
      </c>
      <c r="P359" s="8">
        <f>SUM(P172,P173)</f>
        <v/>
      </c>
      <c r="Q359" s="8">
        <f>SUM(Q172,Q173)</f>
        <v/>
      </c>
      <c r="R359" s="8">
        <f>SUM(R172,R173)</f>
        <v/>
      </c>
      <c r="S359" s="8">
        <f>SUM(S172,S173)</f>
        <v/>
      </c>
      <c r="T359" s="8">
        <f>SUM(T172,T173)</f>
        <v/>
      </c>
    </row>
    <row r="360">
      <c r="A360" s="8" t="n"/>
      <c r="B360" s="9" t="inlineStr">
        <is>
          <t>SUBTOTAL — DOCTOS Y CTAS POR PAGAR EERR</t>
        </is>
      </c>
      <c r="C360" s="8">
        <f>SUM(C175,C176,C177)</f>
        <v/>
      </c>
      <c r="D360" s="8">
        <f>SUM(D175,D176,D177)</f>
        <v/>
      </c>
      <c r="E360" s="8">
        <f>SUM(E175,E176,E177)</f>
        <v/>
      </c>
      <c r="F360" s="8">
        <f>SUM(F175,F176,F177)</f>
        <v/>
      </c>
      <c r="G360" s="8">
        <f>SUM(G175,G176,G177)</f>
        <v/>
      </c>
      <c r="H360" s="8">
        <f>SUM(H175,H176,H177)</f>
        <v/>
      </c>
      <c r="I360" s="8">
        <f>SUM(I175,I176,I177)</f>
        <v/>
      </c>
      <c r="J360" s="8">
        <f>SUM(J175,J176,J177)</f>
        <v/>
      </c>
      <c r="K360" s="8">
        <f>SUM(K175,K176,K177)</f>
        <v/>
      </c>
      <c r="L360" s="8">
        <f>SUM(L175,L176,L177)</f>
        <v/>
      </c>
      <c r="M360" s="8">
        <f>SUM(M175,M176,M177)</f>
        <v/>
      </c>
      <c r="N360" s="8">
        <f>SUM(N175,N176,N177)</f>
        <v/>
      </c>
      <c r="O360" s="8">
        <f>SUM(O175,O176,O177)</f>
        <v/>
      </c>
      <c r="P360" s="8">
        <f>SUM(P175,P176,P177)</f>
        <v/>
      </c>
      <c r="Q360" s="8">
        <f>SUM(Q175,Q176,Q177)</f>
        <v/>
      </c>
      <c r="R360" s="8">
        <f>SUM(R175,R176,R177)</f>
        <v/>
      </c>
      <c r="S360" s="8">
        <f>SUM(S175,S176,S177)</f>
        <v/>
      </c>
      <c r="T360" s="8">
        <f>SUM(T175,T176,T177)</f>
        <v/>
      </c>
    </row>
    <row r="361">
      <c r="A361" s="8" t="n"/>
      <c r="B361" s="9" t="inlineStr">
        <is>
          <t>SUBTOTAL — IMPUESTO A LA RENTA</t>
        </is>
      </c>
      <c r="C361" s="8">
        <f>SUM(C179)</f>
        <v/>
      </c>
      <c r="D361" s="8">
        <f>SUM(D179)</f>
        <v/>
      </c>
      <c r="E361" s="8">
        <f>SUM(E179)</f>
        <v/>
      </c>
      <c r="F361" s="8">
        <f>SUM(F179)</f>
        <v/>
      </c>
      <c r="G361" s="8">
        <f>SUM(G179)</f>
        <v/>
      </c>
      <c r="H361" s="8">
        <f>SUM(H179)</f>
        <v/>
      </c>
      <c r="I361" s="8">
        <f>SUM(I179)</f>
        <v/>
      </c>
      <c r="J361" s="8">
        <f>SUM(J179)</f>
        <v/>
      </c>
      <c r="K361" s="8">
        <f>SUM(K179)</f>
        <v/>
      </c>
      <c r="L361" s="8">
        <f>SUM(L179)</f>
        <v/>
      </c>
      <c r="M361" s="8">
        <f>SUM(M179)</f>
        <v/>
      </c>
      <c r="N361" s="8">
        <f>SUM(N179)</f>
        <v/>
      </c>
      <c r="O361" s="8">
        <f>SUM(O179)</f>
        <v/>
      </c>
      <c r="P361" s="8">
        <f>SUM(P179)</f>
        <v/>
      </c>
      <c r="Q361" s="8">
        <f>SUM(Q179)</f>
        <v/>
      </c>
      <c r="R361" s="8">
        <f>SUM(R179)</f>
        <v/>
      </c>
      <c r="S361" s="8">
        <f>SUM(S179)</f>
        <v/>
      </c>
      <c r="T361" s="8">
        <f>SUM(T179)</f>
        <v/>
      </c>
    </row>
    <row r="362">
      <c r="A362" s="8" t="n"/>
      <c r="B362" s="9" t="inlineStr">
        <is>
          <t>SUBTOTAL — OTROS PASIVOS CORRIENTES</t>
        </is>
      </c>
      <c r="C362" s="8">
        <f>SUM(C181,C182,C183,C184,C185,C186,C187,C188,C189,C190)</f>
        <v/>
      </c>
      <c r="D362" s="8">
        <f>SUM(D181,D182,D183,D184,D185,D186,D187,D188,D189,D190)</f>
        <v/>
      </c>
      <c r="E362" s="8">
        <f>SUM(E181,E182,E183,E184,E185,E186,E187,E188,E189,E190)</f>
        <v/>
      </c>
      <c r="F362" s="8">
        <f>SUM(F181,F182,F183,F184,F185,F186,F187,F188,F189,F190)</f>
        <v/>
      </c>
      <c r="G362" s="8">
        <f>SUM(G181,G182,G183,G184,G185,G186,G187,G188,G189,G190)</f>
        <v/>
      </c>
      <c r="H362" s="8">
        <f>SUM(H181,H182,H183,H184,H185,H186,H187,H188,H189,H190)</f>
        <v/>
      </c>
      <c r="I362" s="8">
        <f>SUM(I181,I182,I183,I184,I185,I186,I187,I188,I189,I190)</f>
        <v/>
      </c>
      <c r="J362" s="8">
        <f>SUM(J181,J182,J183,J184,J185,J186,J187,J188,J189,J190)</f>
        <v/>
      </c>
      <c r="K362" s="8">
        <f>SUM(K181,K182,K183,K184,K185,K186,K187,K188,K189,K190)</f>
        <v/>
      </c>
      <c r="L362" s="8">
        <f>SUM(L181,L182,L183,L184,L185,L186,L187,L188,L189,L190)</f>
        <v/>
      </c>
      <c r="M362" s="8">
        <f>SUM(M181,M182,M183,M184,M185,M186,M187,M188,M189,M190)</f>
        <v/>
      </c>
      <c r="N362" s="8">
        <f>SUM(N181,N182,N183,N184,N185,N186,N187,N188,N189,N190)</f>
        <v/>
      </c>
      <c r="O362" s="8">
        <f>SUM(O181,O182,O183,O184,O185,O186,O187,O188,O189,O190)</f>
        <v/>
      </c>
      <c r="P362" s="8">
        <f>SUM(P181,P182,P183,P184,P185,P186,P187,P188,P189,P190)</f>
        <v/>
      </c>
      <c r="Q362" s="8">
        <f>SUM(Q181,Q182,Q183,Q184,Q185,Q186,Q187,Q188,Q189,Q190)</f>
        <v/>
      </c>
      <c r="R362" s="8">
        <f>SUM(R181,R182,R183,R184,R185,R186,R187,R188,R189,R190)</f>
        <v/>
      </c>
      <c r="S362" s="8">
        <f>SUM(S181,S182,S183,S184,S185,S186,S187,S188,S189,S190)</f>
        <v/>
      </c>
      <c r="T362" s="8">
        <f>SUM(T181,T182,T183,T184,T185,T186,T187,T188,T189,T190)</f>
        <v/>
      </c>
    </row>
    <row r="363">
      <c r="A363" s="8" t="n"/>
      <c r="B363" s="9" t="inlineStr">
        <is>
          <t>SUBTOTAL — OBLIG. C/BCOS E INST FINANC. L/PLAZO</t>
        </is>
      </c>
      <c r="C363" s="8">
        <f>SUM(C192,C193)</f>
        <v/>
      </c>
      <c r="D363" s="8">
        <f>SUM(D192,D193)</f>
        <v/>
      </c>
      <c r="E363" s="8">
        <f>SUM(E192,E193)</f>
        <v/>
      </c>
      <c r="F363" s="8">
        <f>SUM(F192,F193)</f>
        <v/>
      </c>
      <c r="G363" s="8">
        <f>SUM(G192,G193)</f>
        <v/>
      </c>
      <c r="H363" s="8">
        <f>SUM(H192,H193)</f>
        <v/>
      </c>
      <c r="I363" s="8">
        <f>SUM(I192,I193)</f>
        <v/>
      </c>
      <c r="J363" s="8">
        <f>SUM(J192,J193)</f>
        <v/>
      </c>
      <c r="K363" s="8">
        <f>SUM(K192,K193)</f>
        <v/>
      </c>
      <c r="L363" s="8">
        <f>SUM(L192,L193)</f>
        <v/>
      </c>
      <c r="M363" s="8">
        <f>SUM(M192,M193)</f>
        <v/>
      </c>
      <c r="N363" s="8">
        <f>SUM(N192,N193)</f>
        <v/>
      </c>
      <c r="O363" s="8">
        <f>SUM(O192,O193)</f>
        <v/>
      </c>
      <c r="P363" s="8">
        <f>SUM(P192,P193)</f>
        <v/>
      </c>
      <c r="Q363" s="8">
        <f>SUM(Q192,Q193)</f>
        <v/>
      </c>
      <c r="R363" s="8">
        <f>SUM(R192,R193)</f>
        <v/>
      </c>
      <c r="S363" s="8">
        <f>SUM(S192,S193)</f>
        <v/>
      </c>
      <c r="T363" s="8">
        <f>SUM(T192,T193)</f>
        <v/>
      </c>
    </row>
    <row r="364">
      <c r="A364" s="8" t="n"/>
      <c r="B364" s="9" t="inlineStr">
        <is>
          <t>SUBTOTAL — OTROS PASIVOS NO CORRIENTES</t>
        </is>
      </c>
      <c r="C364" s="8">
        <f>SUM(C195,C196)</f>
        <v/>
      </c>
      <c r="D364" s="8">
        <f>SUM(D195,D196)</f>
        <v/>
      </c>
      <c r="E364" s="8">
        <f>SUM(E195,E196)</f>
        <v/>
      </c>
      <c r="F364" s="8">
        <f>SUM(F195,F196)</f>
        <v/>
      </c>
      <c r="G364" s="8">
        <f>SUM(G195,G196)</f>
        <v/>
      </c>
      <c r="H364" s="8">
        <f>SUM(H195,H196)</f>
        <v/>
      </c>
      <c r="I364" s="8">
        <f>SUM(I195,I196)</f>
        <v/>
      </c>
      <c r="J364" s="8">
        <f>SUM(J195,J196)</f>
        <v/>
      </c>
      <c r="K364" s="8">
        <f>SUM(K195,K196)</f>
        <v/>
      </c>
      <c r="L364" s="8">
        <f>SUM(L195,L196)</f>
        <v/>
      </c>
      <c r="M364" s="8">
        <f>SUM(M195,M196)</f>
        <v/>
      </c>
      <c r="N364" s="8">
        <f>SUM(N195,N196)</f>
        <v/>
      </c>
      <c r="O364" s="8">
        <f>SUM(O195,O196)</f>
        <v/>
      </c>
      <c r="P364" s="8">
        <f>SUM(P195,P196)</f>
        <v/>
      </c>
      <c r="Q364" s="8">
        <f>SUM(Q195,Q196)</f>
        <v/>
      </c>
      <c r="R364" s="8">
        <f>SUM(R195,R196)</f>
        <v/>
      </c>
      <c r="S364" s="8">
        <f>SUM(S195,S196)</f>
        <v/>
      </c>
      <c r="T364" s="8">
        <f>SUM(T195,T196)</f>
        <v/>
      </c>
    </row>
    <row r="365">
      <c r="A365" s="8" t="n"/>
      <c r="B365" s="9" t="inlineStr">
        <is>
          <t>SUBTOTAL — DOCTOS Y CTAS POR PAGAR SOCIOS</t>
        </is>
      </c>
      <c r="C365" s="8">
        <f>SUM(C198,C199,C200,C201,C202,C203,C204)</f>
        <v/>
      </c>
      <c r="D365" s="8">
        <f>SUM(D198,D199,D200,D201,D202,D203,D204)</f>
        <v/>
      </c>
      <c r="E365" s="8">
        <f>SUM(E198,E199,E200,E201,E202,E203,E204)</f>
        <v/>
      </c>
      <c r="F365" s="8">
        <f>SUM(F198,F199,F200,F201,F202,F203,F204)</f>
        <v/>
      </c>
      <c r="G365" s="8">
        <f>SUM(G198,G199,G200,G201,G202,G203,G204)</f>
        <v/>
      </c>
      <c r="H365" s="8">
        <f>SUM(H198,H199,H200,H201,H202,H203,H204)</f>
        <v/>
      </c>
      <c r="I365" s="8">
        <f>SUM(I198,I199,I200,I201,I202,I203,I204)</f>
        <v/>
      </c>
      <c r="J365" s="8">
        <f>SUM(J198,J199,J200,J201,J202,J203,J204)</f>
        <v/>
      </c>
      <c r="K365" s="8">
        <f>SUM(K198,K199,K200,K201,K202,K203,K204)</f>
        <v/>
      </c>
      <c r="L365" s="8">
        <f>SUM(L198,L199,L200,L201,L202,L203,L204)</f>
        <v/>
      </c>
      <c r="M365" s="8">
        <f>SUM(M198,M199,M200,M201,M202,M203,M204)</f>
        <v/>
      </c>
      <c r="N365" s="8">
        <f>SUM(N198,N199,N200,N201,N202,N203,N204)</f>
        <v/>
      </c>
      <c r="O365" s="8">
        <f>SUM(O198,O199,O200,O201,O202,O203,O204)</f>
        <v/>
      </c>
      <c r="P365" s="8">
        <f>SUM(P198,P199,P200,P201,P202,P203,P204)</f>
        <v/>
      </c>
      <c r="Q365" s="8">
        <f>SUM(Q198,Q199,Q200,Q201,Q202,Q203,Q204)</f>
        <v/>
      </c>
      <c r="R365" s="8">
        <f>SUM(R198,R199,R200,R201,R202,R203,R204)</f>
        <v/>
      </c>
      <c r="S365" s="8">
        <f>SUM(S198,S199,S200,S201,S202,S203,S204)</f>
        <v/>
      </c>
      <c r="T365" s="8">
        <f>SUM(T198,T199,T200,T201,T202,T203,T204)</f>
        <v/>
      </c>
    </row>
    <row r="366">
      <c r="A366" s="8" t="n"/>
      <c r="B366" s="9" t="inlineStr">
        <is>
          <t>SUBTOTAL — INGRESOS ANTICIPADOS</t>
        </is>
      </c>
      <c r="C366" s="8">
        <f>SUM(C206)</f>
        <v/>
      </c>
      <c r="D366" s="8">
        <f>SUM(D206)</f>
        <v/>
      </c>
      <c r="E366" s="8">
        <f>SUM(E206)</f>
        <v/>
      </c>
      <c r="F366" s="8">
        <f>SUM(F206)</f>
        <v/>
      </c>
      <c r="G366" s="8">
        <f>SUM(G206)</f>
        <v/>
      </c>
      <c r="H366" s="8">
        <f>SUM(H206)</f>
        <v/>
      </c>
      <c r="I366" s="8">
        <f>SUM(I206)</f>
        <v/>
      </c>
      <c r="J366" s="8">
        <f>SUM(J206)</f>
        <v/>
      </c>
      <c r="K366" s="8">
        <f>SUM(K206)</f>
        <v/>
      </c>
      <c r="L366" s="8">
        <f>SUM(L206)</f>
        <v/>
      </c>
      <c r="M366" s="8">
        <f>SUM(M206)</f>
        <v/>
      </c>
      <c r="N366" s="8">
        <f>SUM(N206)</f>
        <v/>
      </c>
      <c r="O366" s="8">
        <f>SUM(O206)</f>
        <v/>
      </c>
      <c r="P366" s="8">
        <f>SUM(P206)</f>
        <v/>
      </c>
      <c r="Q366" s="8">
        <f>SUM(Q206)</f>
        <v/>
      </c>
      <c r="R366" s="8">
        <f>SUM(R206)</f>
        <v/>
      </c>
      <c r="S366" s="8">
        <f>SUM(S206)</f>
        <v/>
      </c>
      <c r="T366" s="8">
        <f>SUM(T206)</f>
        <v/>
      </c>
    </row>
    <row r="367">
      <c r="A367" s="8" t="n"/>
      <c r="B367" s="9" t="inlineStr">
        <is>
          <t>SUBTOTAL — PATRIMONIO</t>
        </is>
      </c>
      <c r="C367" s="8">
        <f>SUM(C208,C209,C210,C211,C212,C213,C214,C215,C216,C217)</f>
        <v/>
      </c>
      <c r="D367" s="8">
        <f>SUM(D208,D209,D210,D211,D212,D213,D214,D215,D216,D217)</f>
        <v/>
      </c>
      <c r="E367" s="8">
        <f>SUM(E208,E209,E210,E211,E212,E213,E214,E215,E216,E217)</f>
        <v/>
      </c>
      <c r="F367" s="8">
        <f>SUM(F208,F209,F210,F211,F212,F213,F214,F215,F216,F217)</f>
        <v/>
      </c>
      <c r="G367" s="8">
        <f>SUM(G208,G209,G210,G211,G212,G213,G214,G215,G216,G217)</f>
        <v/>
      </c>
      <c r="H367" s="8">
        <f>SUM(H208,H209,H210,H211,H212,H213,H214,H215,H216,H217)</f>
        <v/>
      </c>
      <c r="I367" s="8">
        <f>SUM(I208,I209,I210,I211,I212,I213,I214,I215,I216,I217)</f>
        <v/>
      </c>
      <c r="J367" s="8">
        <f>SUM(J208,J209,J210,J211,J212,J213,J214,J215,J216,J217)</f>
        <v/>
      </c>
      <c r="K367" s="8">
        <f>SUM(K208,K209,K210,K211,K212,K213,K214,K215,K216,K217)</f>
        <v/>
      </c>
      <c r="L367" s="8">
        <f>SUM(L208,L209,L210,L211,L212,L213,L214,L215,L216,L217)</f>
        <v/>
      </c>
      <c r="M367" s="8">
        <f>SUM(M208,M209,M210,M211,M212,M213,M214,M215,M216,M217)</f>
        <v/>
      </c>
      <c r="N367" s="8">
        <f>SUM(N208,N209,N210,N211,N212,N213,N214,N215,N216,N217)</f>
        <v/>
      </c>
      <c r="O367" s="8">
        <f>SUM(O208,O209,O210,O211,O212,O213,O214,O215,O216,O217)</f>
        <v/>
      </c>
      <c r="P367" s="8">
        <f>SUM(P208,P209,P210,P211,P212,P213,P214,P215,P216,P217)</f>
        <v/>
      </c>
      <c r="Q367" s="8">
        <f>SUM(Q208,Q209,Q210,Q211,Q212,Q213,Q214,Q215,Q216,Q217)</f>
        <v/>
      </c>
      <c r="R367" s="8">
        <f>SUM(R208,R209,R210,R211,R212,R213,R214,R215,R216,R217)</f>
        <v/>
      </c>
      <c r="S367" s="8">
        <f>SUM(S208,S209,S210,S211,S212,S213,S214,S215,S216,S217)</f>
        <v/>
      </c>
      <c r="T367" s="8">
        <f>SUM(T208,T209,T210,T211,T212,T213,T214,T215,T216,T217)</f>
        <v/>
      </c>
    </row>
    <row r="368">
      <c r="A368" s="8" t="n"/>
      <c r="B368" s="9" t="inlineStr">
        <is>
          <t>SUBTOTAL — INGRESOS DE LA EXPLOTACION</t>
        </is>
      </c>
      <c r="C368" s="8">
        <f>SUM(C224,C225,C226,C227,C228,C229,C230,C231,C232,C233,C234,C235,C236,C237,C238)</f>
        <v/>
      </c>
      <c r="D368" s="8">
        <f>SUM(D224,D225,D226,D227,D228,D229,D230,D231,D232,D233,D234,D235,D236,D237,D238)</f>
        <v/>
      </c>
      <c r="E368" s="8">
        <f>SUM(E224,E225,E226,E227,E228,E229,E230,E231,E232,E233,E234,E235,E236,E237,E238)</f>
        <v/>
      </c>
      <c r="F368" s="8">
        <f>SUM(F224,F225,F226,F227,F228,F229,F230,F231,F232,F233,F234,F235,F236,F237,F238)</f>
        <v/>
      </c>
      <c r="G368" s="8">
        <f>SUM(G224,G225,G226,G227,G228,G229,G230,G231,G232,G233,G234,G235,G236,G237,G238)</f>
        <v/>
      </c>
      <c r="H368" s="8">
        <f>SUM(H224,H225,H226,H227,H228,H229,H230,H231,H232,H233,H234,H235,H236,H237,H238)</f>
        <v/>
      </c>
      <c r="I368" s="8">
        <f>SUM(I224,I225,I226,I227,I228,I229,I230,I231,I232,I233,I234,I235,I236,I237,I238)</f>
        <v/>
      </c>
      <c r="J368" s="8">
        <f>SUM(J224,J225,J226,J227,J228,J229,J230,J231,J232,J233,J234,J235,J236,J237,J238)</f>
        <v/>
      </c>
      <c r="K368" s="8">
        <f>SUM(K224,K225,K226,K227,K228,K229,K230,K231,K232,K233,K234,K235,K236,K237,K238)</f>
        <v/>
      </c>
      <c r="L368" s="8">
        <f>SUM(L224,L225,L226,L227,L228,L229,L230,L231,L232,L233,L234,L235,L236,L237,L238)</f>
        <v/>
      </c>
      <c r="M368" s="8">
        <f>SUM(M224,M225,M226,M227,M228,M229,M230,M231,M232,M233,M234,M235,M236,M237,M238)</f>
        <v/>
      </c>
      <c r="N368" s="8">
        <f>SUM(N224,N225,N226,N227,N228,N229,N230,N231,N232,N233,N234,N235,N236,N237,N238)</f>
        <v/>
      </c>
      <c r="O368" s="8">
        <f>SUM(O224,O225,O226,O227,O228,O229,O230,O231,O232,O233,O234,O235,O236,O237,O238)</f>
        <v/>
      </c>
      <c r="P368" s="8">
        <f>SUM(P224,P225,P226,P227,P228,P229,P230,P231,P232,P233,P234,P235,P236,P237,P238)</f>
        <v/>
      </c>
      <c r="Q368" s="8">
        <f>SUM(Q224,Q225,Q226,Q227,Q228,Q229,Q230,Q231,Q232,Q233,Q234,Q235,Q236,Q237,Q238)</f>
        <v/>
      </c>
      <c r="R368" s="8">
        <f>SUM(R224,R225,R226,R227,R228,R229,R230,R231,R232,R233,R234,R235,R236,R237,R238)</f>
        <v/>
      </c>
      <c r="S368" s="8">
        <f>SUM(S224,S225,S226,S227,S228,S229,S230,S231,S232,S233,S234,S235,S236,S237,S238)</f>
        <v/>
      </c>
      <c r="T368" s="8">
        <f>SUM(T224,T225,T226,T227,T228,T229,T230,T231,T232,T233,T234,T235,T236,T237,T238)</f>
        <v/>
      </c>
    </row>
    <row r="369">
      <c r="A369" s="8" t="n"/>
      <c r="B369" s="9" t="inlineStr">
        <is>
          <t>SUBTOTAL — COSTOS DE LA EXPLOTACION</t>
        </is>
      </c>
      <c r="C369" s="8">
        <f>SUM(C240,C241,C242,C243,C244,C245,C246,C247,C248,C249,C250,C251,C252,C253,C254,C255,C256,C257,C258,C259,C260,C261,C262,C263,C264,C265,C266,C267,C268,C269,C270,C271,C272,C273,C274,C275,C276,C277)</f>
        <v/>
      </c>
      <c r="D369" s="8">
        <f>SUM(D240,D241,D242,D243,D244,D245,D246,D247,D248,D249,D250,D251,D252,D253,D254,D255,D256,D257,D258,D259,D260,D261,D262,D263,D264,D265,D266,D267,D268,D269,D270,D271,D272,D273,D274,D275,D276,D277)</f>
        <v/>
      </c>
      <c r="E369" s="8">
        <f>SUM(E240,E241,E242,E243,E244,E245,E246,E247,E248,E249,E250,E251,E252,E253,E254,E255,E256,E257,E258,E259,E260,E261,E262,E263,E264,E265,E266,E267,E268,E269,E270,E271,E272,E273,E274,E275,E276,E277)</f>
        <v/>
      </c>
      <c r="F369" s="8">
        <f>SUM(F240,F241,F242,F243,F244,F245,F246,F247,F248,F249,F250,F251,F252,F253,F254,F255,F256,F257,F258,F259,F260,F261,F262,F263,F264,F265,F266,F267,F268,F269,F270,F271,F272,F273,F274,F275,F276,F277)</f>
        <v/>
      </c>
      <c r="G369" s="8">
        <f>SUM(G240,G241,G242,G243,G244,G245,G246,G247,G248,G249,G250,G251,G252,G253,G254,G255,G256,G257,G258,G259,G260,G261,G262,G263,G264,G265,G266,G267,G268,G269,G270,G271,G272,G273,G274,G275,G276,G277)</f>
        <v/>
      </c>
      <c r="H369" s="8">
        <f>SUM(H240,H241,H242,H243,H244,H245,H246,H247,H248,H249,H250,H251,H252,H253,H254,H255,H256,H257,H258,H259,H260,H261,H262,H263,H264,H265,H266,H267,H268,H269,H270,H271,H272,H273,H274,H275,H276,H277)</f>
        <v/>
      </c>
      <c r="I369" s="8">
        <f>SUM(I240,I241,I242,I243,I244,I245,I246,I247,I248,I249,I250,I251,I252,I253,I254,I255,I256,I257,I258,I259,I260,I261,I262,I263,I264,I265,I266,I267,I268,I269,I270,I271,I272,I273,I274,I275,I276,I277)</f>
        <v/>
      </c>
      <c r="J369" s="8">
        <f>SUM(J240,J241,J242,J243,J244,J245,J246,J247,J248,J249,J250,J251,J252,J253,J254,J255,J256,J257,J258,J259,J260,J261,J262,J263,J264,J265,J266,J267,J268,J269,J270,J271,J272,J273,J274,J275,J276,J277)</f>
        <v/>
      </c>
      <c r="K369" s="8">
        <f>SUM(K240,K241,K242,K243,K244,K245,K246,K247,K248,K249,K250,K251,K252,K253,K254,K255,K256,K257,K258,K259,K260,K261,K262,K263,K264,K265,K266,K267,K268,K269,K270,K271,K272,K273,K274,K275,K276,K277)</f>
        <v/>
      </c>
      <c r="L369" s="8">
        <f>SUM(L240,L241,L242,L243,L244,L245,L246,L247,L248,L249,L250,L251,L252,L253,L254,L255,L256,L257,L258,L259,L260,L261,L262,L263,L264,L265,L266,L267,L268,L269,L270,L271,L272,L273,L274,L275,L276,L277)</f>
        <v/>
      </c>
      <c r="M369" s="8">
        <f>SUM(M240,M241,M242,M243,M244,M245,M246,M247,M248,M249,M250,M251,M252,M253,M254,M255,M256,M257,M258,M259,M260,M261,M262,M263,M264,M265,M266,M267,M268,M269,M270,M271,M272,M273,M274,M275,M276,M277)</f>
        <v/>
      </c>
      <c r="N369" s="8">
        <f>SUM(N240,N241,N242,N243,N244,N245,N246,N247,N248,N249,N250,N251,N252,N253,N254,N255,N256,N257,N258,N259,N260,N261,N262,N263,N264,N265,N266,N267,N268,N269,N270,N271,N272,N273,N274,N275,N276,N277)</f>
        <v/>
      </c>
      <c r="O369" s="8">
        <f>SUM(O240,O241,O242,O243,O244,O245,O246,O247,O248,O249,O250,O251,O252,O253,O254,O255,O256,O257,O258,O259,O260,O261,O262,O263,O264,O265,O266,O267,O268,O269,O270,O271,O272,O273,O274,O275,O276,O277)</f>
        <v/>
      </c>
      <c r="P369" s="8">
        <f>SUM(P240,P241,P242,P243,P244,P245,P246,P247,P248,P249,P250,P251,P252,P253,P254,P255,P256,P257,P258,P259,P260,P261,P262,P263,P264,P265,P266,P267,P268,P269,P270,P271,P272,P273,P274,P275,P276,P277)</f>
        <v/>
      </c>
      <c r="Q369" s="8">
        <f>SUM(Q240,Q241,Q242,Q243,Q244,Q245,Q246,Q247,Q248,Q249,Q250,Q251,Q252,Q253,Q254,Q255,Q256,Q257,Q258,Q259,Q260,Q261,Q262,Q263,Q264,Q265,Q266,Q267,Q268,Q269,Q270,Q271,Q272,Q273,Q274,Q275,Q276,Q277)</f>
        <v/>
      </c>
      <c r="R369" s="8">
        <f>SUM(R240,R241,R242,R243,R244,R245,R246,R247,R248,R249,R250,R251,R252,R253,R254,R255,R256,R257,R258,R259,R260,R261,R262,R263,R264,R265,R266,R267,R268,R269,R270,R271,R272,R273,R274,R275,R276,R277)</f>
        <v/>
      </c>
      <c r="S369" s="8">
        <f>SUM(S240,S241,S242,S243,S244,S245,S246,S247,S248,S249,S250,S251,S252,S253,S254,S255,S256,S257,S258,S259,S260,S261,S262,S263,S264,S265,S266,S267,S268,S269,S270,S271,S272,S273,S274,S275,S276,S277)</f>
        <v/>
      </c>
      <c r="T369" s="8">
        <f>SUM(T240,T241,T242,T243,T244,T245,T246,T247,T248,T249,T250,T251,T252,T253,T254,T255,T256,T257,T258,T259,T260,T261,T262,T263,T264,T265,T266,T267,T268,T269,T270,T271,T272,T273,T274,T275,T276,T277)</f>
        <v/>
      </c>
    </row>
    <row r="370">
      <c r="A370" s="8" t="n"/>
      <c r="B370" s="9" t="inlineStr">
        <is>
          <t>SUBTOTAL — CUENTAS EXCLUSIVAS GRUPO IMPULSA</t>
        </is>
      </c>
      <c r="C370" s="8">
        <f>SUM(C291,C292,C293,C294,C295,C296,C297,C298,C299,C300,C301,C302,C303,C304,C305,C306,C307,C308,C309,C310,C311,C312,C313,C314,C315,C316,C317,C318,C319,C320,C321,C322,C323,C324,C325,C326,C327,C328,C329)</f>
        <v/>
      </c>
      <c r="D370" s="8">
        <f>SUM(D291,D292,D293,D294,D295,D296,D297,D298,D299,D300,D301,D302,D303,D304,D305,D306,D307,D308,D309,D310,D311,D312,D313,D314,D315,D316,D317,D318,D319,D320,D321,D322,D323,D324,D325,D326,D327,D328,D329)</f>
        <v/>
      </c>
      <c r="E370" s="8">
        <f>SUM(E291,E292,E293,E294,E295,E296,E297,E298,E299,E300,E301,E302,E303,E304,E305,E306,E307,E308,E309,E310,E311,E312,E313,E314,E315,E316,E317,E318,E319,E320,E321,E322,E323,E324,E325,E326,E327,E328,E329)</f>
        <v/>
      </c>
      <c r="F370" s="8">
        <f>SUM(F291,F292,F293,F294,F295,F296,F297,F298,F299,F300,F301,F302,F303,F304,F305,F306,F307,F308,F309,F310,F311,F312,F313,F314,F315,F316,F317,F318,F319,F320,F321,F322,F323,F324,F325,F326,F327,F328,F329)</f>
        <v/>
      </c>
      <c r="G370" s="8">
        <f>SUM(G291,G292,G293,G294,G295,G296,G297,G298,G299,G300,G301,G302,G303,G304,G305,G306,G307,G308,G309,G310,G311,G312,G313,G314,G315,G316,G317,G318,G319,G320,G321,G322,G323,G324,G325,G326,G327,G328,G329)</f>
        <v/>
      </c>
      <c r="H370" s="8">
        <f>SUM(H291,H292,H293,H294,H295,H296,H297,H298,H299,H300,H301,H302,H303,H304,H305,H306,H307,H308,H309,H310,H311,H312,H313,H314,H315,H316,H317,H318,H319,H320,H321,H322,H323,H324,H325,H326,H327,H328,H329)</f>
        <v/>
      </c>
      <c r="I370" s="8">
        <f>SUM(I291,I292,I293,I294,I295,I296,I297,I298,I299,I300,I301,I302,I303,I304,I305,I306,I307,I308,I309,I310,I311,I312,I313,I314,I315,I316,I317,I318,I319,I320,I321,I322,I323,I324,I325,I326,I327,I328,I329)</f>
        <v/>
      </c>
      <c r="J370" s="8">
        <f>SUM(J291,J292,J293,J294,J295,J296,J297,J298,J299,J300,J301,J302,J303,J304,J305,J306,J307,J308,J309,J310,J311,J312,J313,J314,J315,J316,J317,J318,J319,J320,J321,J322,J323,J324,J325,J326,J327,J328,J329)</f>
        <v/>
      </c>
      <c r="K370" s="8">
        <f>SUM(K291,K292,K293,K294,K295,K296,K297,K298,K299,K300,K301,K302,K303,K304,K305,K306,K307,K308,K309,K310,K311,K312,K313,K314,K315,K316,K317,K318,K319,K320,K321,K322,K323,K324,K325,K326,K327,K328,K329)</f>
        <v/>
      </c>
      <c r="L370" s="8">
        <f>SUM(L291,L292,L293,L294,L295,L296,L297,L298,L299,L300,L301,L302,L303,L304,L305,L306,L307,L308,L309,L310,L311,L312,L313,L314,L315,L316,L317,L318,L319,L320,L321,L322,L323,L324,L325,L326,L327,L328,L329)</f>
        <v/>
      </c>
      <c r="M370" s="8">
        <f>SUM(M291,M292,M293,M294,M295,M296,M297,M298,M299,M300,M301,M302,M303,M304,M305,M306,M307,M308,M309,M310,M311,M312,M313,M314,M315,M316,M317,M318,M319,M320,M321,M322,M323,M324,M325,M326,M327,M328,M329)</f>
        <v/>
      </c>
      <c r="N370" s="8">
        <f>SUM(N291,N292,N293,N294,N295,N296,N297,N298,N299,N300,N301,N302,N303,N304,N305,N306,N307,N308,N309,N310,N311,N312,N313,N314,N315,N316,N317,N318,N319,N320,N321,N322,N323,N324,N325,N326,N327,N328,N329)</f>
        <v/>
      </c>
      <c r="O370" s="8">
        <f>SUM(O291,O292,O293,O294,O295,O296,O297,O298,O299,O300,O301,O302,O303,O304,O305,O306,O307,O308,O309,O310,O311,O312,O313,O314,O315,O316,O317,O318,O319,O320,O321,O322,O323,O324,O325,O326,O327,O328,O329)</f>
        <v/>
      </c>
      <c r="P370" s="8">
        <f>SUM(P291,P292,P293,P294,P295,P296,P297,P298,P299,P300,P301,P302,P303,P304,P305,P306,P307,P308,P309,P310,P311,P312,P313,P314,P315,P316,P317,P318,P319,P320,P321,P322,P323,P324,P325,P326,P327,P328,P329)</f>
        <v/>
      </c>
      <c r="Q370" s="8">
        <f>SUM(Q291,Q292,Q293,Q294,Q295,Q296,Q297,Q298,Q299,Q300,Q301,Q302,Q303,Q304,Q305,Q306,Q307,Q308,Q309,Q310,Q311,Q312,Q313,Q314,Q315,Q316,Q317,Q318,Q319,Q320,Q321,Q322,Q323,Q324,Q325,Q326,Q327,Q328,Q329)</f>
        <v/>
      </c>
      <c r="R370" s="8">
        <f>SUM(R291,R292,R293,R294,R295,R296,R297,R298,R299,R300,R301,R302,R303,R304,R305,R306,R307,R308,R309,R310,R311,R312,R313,R314,R315,R316,R317,R318,R319,R320,R321,R322,R323,R324,R325,R326,R327,R328,R329)</f>
        <v/>
      </c>
      <c r="S370" s="8">
        <f>SUM(S291,S292,S293,S294,S295,S296,S297,S298,S299,S300,S301,S302,S303,S304,S305,S306,S307,S308,S309,S310,S311,S312,S313,S314,S315,S316,S317,S318,S319,S320,S321,S322,S323,S324,S325,S326,S327,S328,S329)</f>
        <v/>
      </c>
      <c r="T370" s="8">
        <f>SUM(T291,T292,T293,T294,T295,T296,T297,T298,T299,T300,T301,T302,T303,T304,T305,T306,T307,T308,T309,T310,T311,T312,T313,T314,T315,T316,T317,T318,T319,T320,T321,T322,T323,T324,T325,T326,T327,T328,T329)</f>
        <v/>
      </c>
    </row>
    <row r="371">
      <c r="A371" s="10" t="n"/>
      <c r="B371" s="10" t="inlineStr">
        <is>
          <t>TOTAL GENERAL</t>
        </is>
      </c>
      <c r="C371" s="10">
        <f>SUM(C330,C331,C332,C333,C334,C335,C336,C337,C338,C339,C340,C341,C342,C343,C344,C345,C346,C347,C348,C349,C350,C351,C352,C353,C354,C355,C356,C357,C358,C359,C360,C361,C362,C363,C364,C365,C366,C367,C368,C369,C370)</f>
        <v/>
      </c>
      <c r="D371" s="10">
        <f>SUM(D330,D331,D332,D333,D334,D335,D336,D337,D338,D339,D340,D341,D342,D343,D344,D345,D346,D347,D348,D349,D350,D351,D352,D353,D354,D355,D356,D357,D358,D359,D360,D361,D362,D363,D364,D365,D366,D367,D368,D369,D370)</f>
        <v/>
      </c>
      <c r="E371" s="10">
        <f>SUM(E330,E331,E332,E333,E334,E335,E336,E337,E338,E339,E340,E341,E342,E343,E344,E345,E346,E347,E348,E349,E350,E351,E352,E353,E354,E355,E356,E357,E358,E359,E360,E361,E362,E363,E364,E365,E366,E367,E368,E369,E370)</f>
        <v/>
      </c>
      <c r="F371" s="10">
        <f>SUM(F330,F331,F332,F333,F334,F335,F336,F337,F338,F339,F340,F341,F342,F343,F344,F345,F346,F347,F348,F349,F350,F351,F352,F353,F354,F355,F356,F357,F358,F359,F360,F361,F362,F363,F364,F365,F366,F367,F368,F369,F370)</f>
        <v/>
      </c>
      <c r="G371" s="10">
        <f>SUM(G330,G331,G332,G333,G334,G335,G336,G337,G338,G339,G340,G341,G342,G343,G344,G345,G346,G347,G348,G349,G350,G351,G352,G353,G354,G355,G356,G357,G358,G359,G360,G361,G362,G363,G364,G365,G366,G367,G368,G369,G370)</f>
        <v/>
      </c>
      <c r="H371" s="10">
        <f>SUM(H330,H331,H332,H333,H334,H335,H336,H337,H338,H339,H340,H341,H342,H343,H344,H345,H346,H347,H348,H349,H350,H351,H352,H353,H354,H355,H356,H357,H358,H359,H360,H361,H362,H363,H364,H365,H366,H367,H368,H369,H370)</f>
        <v/>
      </c>
      <c r="I371" s="10">
        <f>SUM(I330,I331,I332,I333,I334,I335,I336,I337,I338,I339,I340,I341,I342,I343,I344,I345,I346,I347,I348,I349,I350,I351,I352,I353,I354,I355,I356,I357,I358,I359,I360,I361,I362,I363,I364,I365,I366,I367,I368,I369,I370)</f>
        <v/>
      </c>
      <c r="J371" s="10">
        <f>SUM(J330,J331,J332,J333,J334,J335,J336,J337,J338,J339,J340,J341,J342,J343,J344,J345,J346,J347,J348,J349,J350,J351,J352,J353,J354,J355,J356,J357,J358,J359,J360,J361,J362,J363,J364,J365,J366,J367,J368,J369,J370)</f>
        <v/>
      </c>
      <c r="K371" s="10">
        <f>SUM(K330,K331,K332,K333,K334,K335,K336,K337,K338,K339,K340,K341,K342,K343,K344,K345,K346,K347,K348,K349,K350,K351,K352,K353,K354,K355,K356,K357,K358,K359,K360,K361,K362,K363,K364,K365,K366,K367,K368,K369,K370)</f>
        <v/>
      </c>
      <c r="L371" s="10">
        <f>SUM(L330,L331,L332,L333,L334,L335,L336,L337,L338,L339,L340,L341,L342,L343,L344,L345,L346,L347,L348,L349,L350,L351,L352,L353,L354,L355,L356,L357,L358,L359,L360,L361,L362,L363,L364,L365,L366,L367,L368,L369,L370)</f>
        <v/>
      </c>
      <c r="M371" s="10">
        <f>SUM(M330,M331,M332,M333,M334,M335,M336,M337,M338,M339,M340,M341,M342,M343,M344,M345,M346,M347,M348,M349,M350,M351,M352,M353,M354,M355,M356,M357,M358,M359,M360,M361,M362,M363,M364,M365,M366,M367,M368,M369,M370)</f>
        <v/>
      </c>
      <c r="N371" s="10">
        <f>SUM(N330,N331,N332,N333,N334,N335,N336,N337,N338,N339,N340,N341,N342,N343,N344,N345,N346,N347,N348,N349,N350,N351,N352,N353,N354,N355,N356,N357,N358,N359,N360,N361,N362,N363,N364,N365,N366,N367,N368,N369,N370)</f>
        <v/>
      </c>
      <c r="O371" s="10">
        <f>SUM(O330,O331,O332,O333,O334,O335,O336,O337,O338,O339,O340,O341,O342,O343,O344,O345,O346,O347,O348,O349,O350,O351,O352,O353,O354,O355,O356,O357,O358,O359,O360,O361,O362,O363,O364,O365,O366,O367,O368,O369,O370)</f>
        <v/>
      </c>
      <c r="P371" s="10">
        <f>SUM(P330,P331,P332,P333,P334,P335,P336,P337,P338,P339,P340,P341,P342,P343,P344,P345,P346,P347,P348,P349,P350,P351,P352,P353,P354,P355,P356,P357,P358,P359,P360,P361,P362,P363,P364,P365,P366,P367,P368,P369,P370)</f>
        <v/>
      </c>
      <c r="Q371" s="10">
        <f>SUM(Q330,Q331,Q332,Q333,Q334,Q335,Q336,Q337,Q338,Q339,Q340,Q341,Q342,Q343,Q344,Q345,Q346,Q347,Q348,Q349,Q350,Q351,Q352,Q353,Q354,Q355,Q356,Q357,Q358,Q359,Q360,Q361,Q362,Q363,Q364,Q365,Q366,Q367,Q368,Q369,Q370)</f>
        <v/>
      </c>
      <c r="R371" s="10">
        <f>SUM(R330,R331,R332,R333,R334,R335,R336,R337,R338,R339,R340,R341,R342,R343,R344,R345,R346,R347,R348,R349,R350,R351,R352,R353,R354,R355,R356,R357,R358,R359,R360,R361,R362,R363,R364,R365,R366,R367,R368,R369,R370)</f>
        <v/>
      </c>
      <c r="S371" s="10">
        <f>SUM(S330,S331,S332,S333,S334,S335,S336,S337,S338,S339,S340,S341,S342,S343,S344,S345,S346,S347,S348,S349,S350,S351,S352,S353,S354,S355,S356,S357,S358,S359,S360,S361,S362,S363,S364,S365,S366,S367,S368,S369,S370)</f>
        <v/>
      </c>
      <c r="T371" s="10">
        <f>SUM(T330,T331,T332,T333,T334,T335,T336,T337,T338,T339,T340,T341,T342,T343,T344,T345,T346,T347,T348,T349,T350,T351,T352,T353,T354,T355,T356,T357,T358,T359,T360,T361,T362,T363,T364,T365,T366,T367,T368,T369,T370)</f>
        <v/>
      </c>
    </row>
  </sheetData>
  <mergeCells count="75">
    <mergeCell ref="A93:T93"/>
    <mergeCell ref="A111:T111"/>
    <mergeCell ref="A31:T31"/>
    <mergeCell ref="A220:T220"/>
    <mergeCell ref="A58:T58"/>
    <mergeCell ref="A289:T289"/>
    <mergeCell ref="A167:T167"/>
    <mergeCell ref="A9:T9"/>
    <mergeCell ref="A130:T130"/>
    <mergeCell ref="A30:T30"/>
    <mergeCell ref="A15:T15"/>
    <mergeCell ref="A64:T64"/>
    <mergeCell ref="A279:T279"/>
    <mergeCell ref="A157:T157"/>
    <mergeCell ref="A49:T49"/>
    <mergeCell ref="A284:T284"/>
    <mergeCell ref="A222:T222"/>
    <mergeCell ref="A191:T191"/>
    <mergeCell ref="A207:T207"/>
    <mergeCell ref="A11:T11"/>
    <mergeCell ref="A138:T138"/>
    <mergeCell ref="A1:T1"/>
    <mergeCell ref="A103:T103"/>
    <mergeCell ref="A110:T110"/>
    <mergeCell ref="A132:T132"/>
    <mergeCell ref="A68:T68"/>
    <mergeCell ref="A178:T178"/>
    <mergeCell ref="A119:T119"/>
    <mergeCell ref="A197:T197"/>
    <mergeCell ref="A281:T281"/>
    <mergeCell ref="A287:T287"/>
    <mergeCell ref="A162:T162"/>
    <mergeCell ref="A25:T25"/>
    <mergeCell ref="A174:T174"/>
    <mergeCell ref="A54:T54"/>
    <mergeCell ref="A205:T205"/>
    <mergeCell ref="A218:T218"/>
    <mergeCell ref="A221:T221"/>
    <mergeCell ref="A283:T283"/>
    <mergeCell ref="A286:T286"/>
    <mergeCell ref="A164:T164"/>
    <mergeCell ref="A282:T282"/>
    <mergeCell ref="A56:T56"/>
    <mergeCell ref="A285:T285"/>
    <mergeCell ref="A3:T3"/>
    <mergeCell ref="A101:T101"/>
    <mergeCell ref="A154:T154"/>
    <mergeCell ref="A55:T55"/>
    <mergeCell ref="A223:T223"/>
    <mergeCell ref="A239:T239"/>
    <mergeCell ref="A57:T57"/>
    <mergeCell ref="A71:T71"/>
    <mergeCell ref="A160:T160"/>
    <mergeCell ref="A278:T278"/>
    <mergeCell ref="A151:T151"/>
    <mergeCell ref="A288:T288"/>
    <mergeCell ref="A219:T219"/>
    <mergeCell ref="A23:T23"/>
    <mergeCell ref="A32:T32"/>
    <mergeCell ref="A194:T194"/>
    <mergeCell ref="A159:T159"/>
    <mergeCell ref="A17:T17"/>
    <mergeCell ref="A290:T290"/>
    <mergeCell ref="A4:T4"/>
    <mergeCell ref="A171:T171"/>
    <mergeCell ref="A147:T147"/>
    <mergeCell ref="A134:T134"/>
    <mergeCell ref="A180:T180"/>
    <mergeCell ref="A43:T43"/>
    <mergeCell ref="A38:T38"/>
    <mergeCell ref="A280:T280"/>
    <mergeCell ref="A161:T161"/>
    <mergeCell ref="A112:T112"/>
    <mergeCell ref="A13:T13"/>
    <mergeCell ref="A102:T1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60" customWidth="1" min="4" max="4"/>
  </cols>
  <sheetData>
    <row r="1">
      <c r="A1" s="11" t="inlineStr">
        <is>
          <t>CODIGO</t>
        </is>
      </c>
      <c r="B1" s="11" t="inlineStr">
        <is>
          <t>LABEL</t>
        </is>
      </c>
      <c r="C1" s="11" t="inlineStr">
        <is>
          <t>ISSUE_TYPE</t>
        </is>
      </c>
      <c r="D1" s="11" t="inlineStr">
        <is>
          <t>DETAIL</t>
        </is>
      </c>
    </row>
    <row r="2">
      <c r="A2" s="12" t="inlineStr">
        <is>
          <t>110121</t>
        </is>
      </c>
      <c r="B2" s="12" t="inlineStr">
        <is>
          <t>Banco BCI N° 10682066</t>
        </is>
      </c>
      <c r="C2" s="12" t="inlineStr">
        <is>
          <t>DESC_CONFLICT</t>
        </is>
      </c>
      <c r="D2" s="12" t="inlineStr">
        <is>
          <t>EP='Banco BCI N° 10682066' vs IM='Banco BCI N° 10693785'</t>
        </is>
      </c>
    </row>
    <row r="3">
      <c r="A3" t="inlineStr">
        <is>
          <t>110122</t>
        </is>
      </c>
      <c r="B3" t="inlineStr">
        <is>
          <t>Banco Santander N° 7467536</t>
        </is>
      </c>
      <c r="C3" t="inlineStr">
        <is>
          <t>EPLAZA_ONLY</t>
        </is>
      </c>
      <c r="D3" t="inlineStr">
        <is>
          <t>Account exists in EPLAZA only</t>
        </is>
      </c>
    </row>
    <row r="4">
      <c r="A4" t="inlineStr">
        <is>
          <t>110511</t>
        </is>
      </c>
      <c r="B4" t="inlineStr">
        <is>
          <t>Deudores por Promesas</t>
        </is>
      </c>
      <c r="C4" t="inlineStr">
        <is>
          <t>EPLAZA_ONLY</t>
        </is>
      </c>
      <c r="D4" t="inlineStr">
        <is>
          <t>Account exists in EPLAZA only</t>
        </is>
      </c>
    </row>
    <row r="5">
      <c r="A5" t="inlineStr">
        <is>
          <t>110521</t>
        </is>
      </c>
      <c r="B5" t="inlineStr">
        <is>
          <t>Deudores por Escrituras</t>
        </is>
      </c>
      <c r="C5" t="inlineStr">
        <is>
          <t>EPLAZA_ONLY</t>
        </is>
      </c>
      <c r="D5" t="inlineStr">
        <is>
          <t>Account exists in EPLAZA only</t>
        </is>
      </c>
    </row>
    <row r="6">
      <c r="A6" t="inlineStr">
        <is>
          <t>110562</t>
        </is>
      </c>
      <c r="B6" t="inlineStr">
        <is>
          <t>Anticipo de Honorarios</t>
        </is>
      </c>
      <c r="C6" t="inlineStr">
        <is>
          <t>EPLAZA_ONLY</t>
        </is>
      </c>
      <c r="D6" t="inlineStr">
        <is>
          <t>Account exists in EPLAZA only</t>
        </is>
      </c>
    </row>
    <row r="7">
      <c r="A7" t="inlineStr">
        <is>
          <t>110564</t>
        </is>
      </c>
      <c r="B7" t="inlineStr">
        <is>
          <t>Anticipo de Sueldo</t>
        </is>
      </c>
      <c r="C7" t="inlineStr">
        <is>
          <t>EPLAZA_ONLY</t>
        </is>
      </c>
      <c r="D7" t="inlineStr">
        <is>
          <t>Account exists in EPLAZA only</t>
        </is>
      </c>
    </row>
    <row r="8">
      <c r="A8" t="inlineStr">
        <is>
          <t>110612</t>
        </is>
      </c>
      <c r="B8" t="inlineStr">
        <is>
          <t>Cta. Cte. Grupo Impulsa SPA</t>
        </is>
      </c>
      <c r="C8" t="inlineStr">
        <is>
          <t>EPLAZA_ONLY</t>
        </is>
      </c>
      <c r="D8" t="inlineStr">
        <is>
          <t>Account exists in EPLAZA only</t>
        </is>
      </c>
    </row>
    <row r="9">
      <c r="A9" t="inlineStr">
        <is>
          <t>110811</t>
        </is>
      </c>
      <c r="B9" t="inlineStr">
        <is>
          <t>IVA Credito Fiscal</t>
        </is>
      </c>
      <c r="C9" t="inlineStr">
        <is>
          <t>EPLAZA_ONLY</t>
        </is>
      </c>
      <c r="D9" t="inlineStr">
        <is>
          <t>Account exists in EPLAZA only</t>
        </is>
      </c>
    </row>
    <row r="10">
      <c r="A10" t="inlineStr">
        <is>
          <t>110812</t>
        </is>
      </c>
      <c r="B10" t="inlineStr">
        <is>
          <t>IVA Credito Proporcional</t>
        </is>
      </c>
      <c r="C10" t="inlineStr">
        <is>
          <t>EPLAZA_ONLY</t>
        </is>
      </c>
      <c r="D10" t="inlineStr">
        <is>
          <t>Account exists in EPLAZA only</t>
        </is>
      </c>
    </row>
    <row r="11">
      <c r="A11" t="inlineStr">
        <is>
          <t>110813</t>
        </is>
      </c>
      <c r="B11" t="inlineStr">
        <is>
          <t>Remanente Credito Fiscal</t>
        </is>
      </c>
      <c r="C11" t="inlineStr">
        <is>
          <t>EPLAZA_ONLY</t>
        </is>
      </c>
      <c r="D11" t="inlineStr">
        <is>
          <t>Account exists in EPLAZA only</t>
        </is>
      </c>
    </row>
    <row r="12">
      <c r="A12" t="inlineStr">
        <is>
          <t>110815</t>
        </is>
      </c>
      <c r="B12" t="inlineStr">
        <is>
          <t>Pagos Provisionales Mensuales</t>
        </is>
      </c>
      <c r="C12" t="inlineStr">
        <is>
          <t>EPLAZA_ONLY</t>
        </is>
      </c>
      <c r="D12" t="inlineStr">
        <is>
          <t>Account exists in EPLAZA only</t>
        </is>
      </c>
    </row>
    <row r="13">
      <c r="A13" s="12" t="inlineStr">
        <is>
          <t>120411</t>
        </is>
      </c>
      <c r="B13" s="12" t="inlineStr">
        <is>
          <t>Ctas por Cobrar</t>
        </is>
      </c>
      <c r="C13" s="12" t="inlineStr">
        <is>
          <t>DESC_CONFLICT</t>
        </is>
      </c>
      <c r="D13" s="12" t="inlineStr">
        <is>
          <t>EP='Ctas por Cobrar' vs IM='Cta. Cte. Inmobiliaria EPlaza SPA'</t>
        </is>
      </c>
    </row>
    <row r="14">
      <c r="A14" s="12" t="inlineStr">
        <is>
          <t>120415</t>
        </is>
      </c>
      <c r="B14" s="12" t="inlineStr">
        <is>
          <t>Cta. Cte. Impulsa Inversiones SPA</t>
        </is>
      </c>
      <c r="C14" s="12" t="inlineStr">
        <is>
          <t>DESC_CONFLICT</t>
        </is>
      </c>
      <c r="D14" s="12" t="inlineStr">
        <is>
          <t>EP='Cta. Cte. Impulsa Inversiones SPA' vs IM='Cta. Cte. Inmob. y Const. Los Laureles SPA'</t>
        </is>
      </c>
    </row>
    <row r="15">
      <c r="A15" t="inlineStr">
        <is>
          <t>120418</t>
        </is>
      </c>
      <c r="B15" t="inlineStr">
        <is>
          <t>Cta. Cte. Inmob. y Constructora BBR SPA</t>
        </is>
      </c>
      <c r="C15" t="inlineStr">
        <is>
          <t>EPLAZA_ONLY</t>
        </is>
      </c>
      <c r="D15" t="inlineStr">
        <is>
          <t>Account exists in EPLAZA only</t>
        </is>
      </c>
    </row>
    <row r="16">
      <c r="A16" t="inlineStr">
        <is>
          <t>120419</t>
        </is>
      </c>
      <c r="B16" t="inlineStr">
        <is>
          <t>Cta. Cte. Investigacion y Desarrollo</t>
        </is>
      </c>
      <c r="C16" t="inlineStr">
        <is>
          <t>EPLAZA_ONLY</t>
        </is>
      </c>
      <c r="D16" t="inlineStr">
        <is>
          <t>Account exists in EPLAZA only</t>
        </is>
      </c>
    </row>
    <row r="17">
      <c r="A17" t="inlineStr">
        <is>
          <t>120420</t>
        </is>
      </c>
      <c r="B17" t="inlineStr">
        <is>
          <t>Cta. Cte. Prestamo x Compra Camioneta</t>
        </is>
      </c>
      <c r="C17" t="inlineStr">
        <is>
          <t>EPLAZA_ONLY</t>
        </is>
      </c>
      <c r="D17" t="inlineStr">
        <is>
          <t>Account exists in EPLAZA only</t>
        </is>
      </c>
    </row>
    <row r="18">
      <c r="A18" s="12" t="inlineStr">
        <is>
          <t>120511</t>
        </is>
      </c>
      <c r="B18" s="12" t="inlineStr">
        <is>
          <t>Inversion en Inmob. Infante Videla S.A.</t>
        </is>
      </c>
      <c r="C18" s="12" t="inlineStr">
        <is>
          <t>DESC_CONFLICT</t>
        </is>
      </c>
      <c r="D18" s="12" t="inlineStr">
        <is>
          <t>EP='Inversion en Inmob. Infante Videla S.A.' vs IM='Inversion en Inmobiliaria EPlaza SPA'</t>
        </is>
      </c>
    </row>
    <row r="19">
      <c r="A19" s="12" t="inlineStr">
        <is>
          <t>120512</t>
        </is>
      </c>
      <c r="B19" s="12" t="inlineStr">
        <is>
          <t>Inversion en Inmob. y Constructora BBR SPA</t>
        </is>
      </c>
      <c r="C19" s="12" t="inlineStr">
        <is>
          <t>DESC_CONFLICT</t>
        </is>
      </c>
      <c r="D19" s="12" t="inlineStr">
        <is>
          <t>EP='Inversion en Inmob. y Constructora BBR SPA' vs IM='Inversion en Inmob. San Juan De La Luz S.A.'</t>
        </is>
      </c>
    </row>
    <row r="20">
      <c r="A20" s="12" t="inlineStr">
        <is>
          <t>120513</t>
        </is>
      </c>
      <c r="B20" s="12" t="inlineStr">
        <is>
          <t>Inversion en Osler Impulsa Inversiones S.L.</t>
        </is>
      </c>
      <c r="C20" s="12" t="inlineStr">
        <is>
          <t>DESC_CONFLICT</t>
        </is>
      </c>
      <c r="D20" s="12" t="inlineStr">
        <is>
          <t>EP='Inversion en Osler Impulsa Inversiones S.L.' vs IM='Inversion en Inmobiliaria EPlaza S.A.'</t>
        </is>
      </c>
    </row>
    <row r="21">
      <c r="A21" s="12" t="inlineStr">
        <is>
          <t>120514</t>
        </is>
      </c>
      <c r="B21" s="12" t="inlineStr">
        <is>
          <t>Inversion en Proyecto Los Laureles</t>
        </is>
      </c>
      <c r="C21" s="12" t="inlineStr">
        <is>
          <t>DESC_CONFLICT</t>
        </is>
      </c>
      <c r="D21" s="12" t="inlineStr">
        <is>
          <t>EP='Inversion en Proyecto Los Laureles' vs IM='Inversion en Inmob. Manquehue Norte 321 SPA'</t>
        </is>
      </c>
    </row>
    <row r="22">
      <c r="A22" t="inlineStr">
        <is>
          <t>120831</t>
        </is>
      </c>
      <c r="B22" t="inlineStr">
        <is>
          <t>Muebles y Utiles</t>
        </is>
      </c>
      <c r="C22" t="inlineStr">
        <is>
          <t>EPLAZA_ONLY</t>
        </is>
      </c>
      <c r="D22" t="inlineStr">
        <is>
          <t>Account exists in EPLAZA only</t>
        </is>
      </c>
    </row>
    <row r="23">
      <c r="A23" t="inlineStr">
        <is>
          <t>120841</t>
        </is>
      </c>
      <c r="B23" t="inlineStr">
        <is>
          <t>Instalaciones</t>
        </is>
      </c>
      <c r="C23" t="inlineStr">
        <is>
          <t>EPLAZA_ONLY</t>
        </is>
      </c>
      <c r="D23" t="inlineStr">
        <is>
          <t>Account exists in EPLAZA only</t>
        </is>
      </c>
    </row>
    <row r="24">
      <c r="A24" t="inlineStr">
        <is>
          <t>120851</t>
        </is>
      </c>
      <c r="B24" t="inlineStr">
        <is>
          <t>Equipos Computacionales</t>
        </is>
      </c>
      <c r="C24" t="inlineStr">
        <is>
          <t>EPLAZA_ONLY</t>
        </is>
      </c>
      <c r="D24" t="inlineStr">
        <is>
          <t>Account exists in EPLAZA only</t>
        </is>
      </c>
    </row>
    <row r="25">
      <c r="A25" t="inlineStr">
        <is>
          <t>120852</t>
        </is>
      </c>
      <c r="B25" t="inlineStr">
        <is>
          <t>Sistema Computacional</t>
        </is>
      </c>
      <c r="C25" t="inlineStr">
        <is>
          <t>EPLAZA_ONLY</t>
        </is>
      </c>
      <c r="D25" t="inlineStr">
        <is>
          <t>Account exists in EPLAZA only</t>
        </is>
      </c>
    </row>
    <row r="26">
      <c r="A26" t="inlineStr">
        <is>
          <t>120853</t>
        </is>
      </c>
      <c r="B26" t="inlineStr">
        <is>
          <t>Equipo Aire Acondicionado</t>
        </is>
      </c>
      <c r="C26" t="inlineStr">
        <is>
          <t>EPLAZA_ONLY</t>
        </is>
      </c>
      <c r="D26" t="inlineStr">
        <is>
          <t>Account exists in EPLAZA only</t>
        </is>
      </c>
    </row>
    <row r="27">
      <c r="A27" t="inlineStr">
        <is>
          <t>120893</t>
        </is>
      </c>
      <c r="B27" t="inlineStr">
        <is>
          <t>Dep Acum. Muebles y Utiles</t>
        </is>
      </c>
      <c r="C27" t="inlineStr">
        <is>
          <t>EPLAZA_ONLY</t>
        </is>
      </c>
      <c r="D27" t="inlineStr">
        <is>
          <t>Account exists in EPLAZA only</t>
        </is>
      </c>
    </row>
    <row r="28">
      <c r="A28" t="inlineStr">
        <is>
          <t>120894</t>
        </is>
      </c>
      <c r="B28" t="inlineStr">
        <is>
          <t>Dep Acum. Instalaciones</t>
        </is>
      </c>
      <c r="C28" t="inlineStr">
        <is>
          <t>EPLAZA_ONLY</t>
        </is>
      </c>
      <c r="D28" t="inlineStr">
        <is>
          <t>Account exists in EPLAZA only</t>
        </is>
      </c>
    </row>
    <row r="29">
      <c r="A29" t="inlineStr">
        <is>
          <t>120897</t>
        </is>
      </c>
      <c r="B29" t="inlineStr">
        <is>
          <t>Dep Acum. Eq. Computacionales</t>
        </is>
      </c>
      <c r="C29" t="inlineStr">
        <is>
          <t>EPLAZA_ONLY</t>
        </is>
      </c>
      <c r="D29" t="inlineStr">
        <is>
          <t>Account exists in EPLAZA only</t>
        </is>
      </c>
    </row>
    <row r="30">
      <c r="A30" t="inlineStr">
        <is>
          <t>120899</t>
        </is>
      </c>
      <c r="B30" t="inlineStr">
        <is>
          <t>Dep Acum. Equipo Aire Acondicionado</t>
        </is>
      </c>
      <c r="C30" t="inlineStr">
        <is>
          <t>EPLAZA_ONLY</t>
        </is>
      </c>
      <c r="D30" t="inlineStr">
        <is>
          <t>Account exists in EPLAZA only</t>
        </is>
      </c>
    </row>
    <row r="31">
      <c r="A31" t="inlineStr">
        <is>
          <t>120911</t>
        </is>
      </c>
      <c r="B31" t="inlineStr">
        <is>
          <t>Terreno</t>
        </is>
      </c>
      <c r="C31" t="inlineStr">
        <is>
          <t>EPLAZA_ONLY</t>
        </is>
      </c>
      <c r="D31" t="inlineStr">
        <is>
          <t>Account exists in EPLAZA only</t>
        </is>
      </c>
    </row>
    <row r="32">
      <c r="A32" t="inlineStr">
        <is>
          <t>120912</t>
        </is>
      </c>
      <c r="B32" t="inlineStr">
        <is>
          <t>Costo Comision Terreno</t>
        </is>
      </c>
      <c r="C32" t="inlineStr">
        <is>
          <t>EPLAZA_ONLY</t>
        </is>
      </c>
      <c r="D32" t="inlineStr">
        <is>
          <t>Account exists in EPLAZA only</t>
        </is>
      </c>
    </row>
    <row r="33">
      <c r="A33" t="inlineStr">
        <is>
          <t>120913</t>
        </is>
      </c>
      <c r="B33" t="inlineStr">
        <is>
          <t>Estructuracion</t>
        </is>
      </c>
      <c r="C33" t="inlineStr">
        <is>
          <t>EPLAZA_ONLY</t>
        </is>
      </c>
      <c r="D33" t="inlineStr">
        <is>
          <t>Account exists in EPLAZA only</t>
        </is>
      </c>
    </row>
    <row r="34">
      <c r="A34" t="inlineStr">
        <is>
          <t>120914</t>
        </is>
      </c>
      <c r="B34" t="inlineStr">
        <is>
          <t>Contribuciones Bs Rs</t>
        </is>
      </c>
      <c r="C34" t="inlineStr">
        <is>
          <t>EPLAZA_ONLY</t>
        </is>
      </c>
      <c r="D34" t="inlineStr">
        <is>
          <t>Account exists in EPLAZA only</t>
        </is>
      </c>
    </row>
    <row r="35">
      <c r="A35" t="inlineStr">
        <is>
          <t>120915</t>
        </is>
      </c>
      <c r="B35" t="inlineStr">
        <is>
          <t>Otros Terrenos</t>
        </is>
      </c>
      <c r="C35" t="inlineStr">
        <is>
          <t>EPLAZA_ONLY</t>
        </is>
      </c>
      <c r="D35" t="inlineStr">
        <is>
          <t>Account exists in EPLAZA only</t>
        </is>
      </c>
    </row>
    <row r="36">
      <c r="A36" t="inlineStr">
        <is>
          <t>120921</t>
        </is>
      </c>
      <c r="B36" t="inlineStr">
        <is>
          <t>Dºs Municipales</t>
        </is>
      </c>
      <c r="C36" t="inlineStr">
        <is>
          <t>EPLAZA_ONLY</t>
        </is>
      </c>
      <c r="D36" t="inlineStr">
        <is>
          <t>Account exists in EPLAZA only</t>
        </is>
      </c>
    </row>
    <row r="37">
      <c r="A37" t="inlineStr">
        <is>
          <t>120922</t>
        </is>
      </c>
      <c r="B37" t="inlineStr">
        <is>
          <t>Arquitecto Revisor</t>
        </is>
      </c>
      <c r="C37" t="inlineStr">
        <is>
          <t>EPLAZA_ONLY</t>
        </is>
      </c>
      <c r="D37" t="inlineStr">
        <is>
          <t>Account exists in EPLAZA only</t>
        </is>
      </c>
    </row>
    <row r="38">
      <c r="A38" t="inlineStr">
        <is>
          <t>120923</t>
        </is>
      </c>
      <c r="B38" t="inlineStr">
        <is>
          <t>Otros Derechos</t>
        </is>
      </c>
      <c r="C38" t="inlineStr">
        <is>
          <t>EPLAZA_ONLY</t>
        </is>
      </c>
      <c r="D38" t="inlineStr">
        <is>
          <t>Account exists in EPLAZA only</t>
        </is>
      </c>
    </row>
    <row r="39">
      <c r="A39" t="inlineStr">
        <is>
          <t>120931</t>
        </is>
      </c>
      <c r="B39" t="inlineStr">
        <is>
          <t>Empalme Electrico</t>
        </is>
      </c>
      <c r="C39" t="inlineStr">
        <is>
          <t>EPLAZA_ONLY</t>
        </is>
      </c>
      <c r="D39" t="inlineStr">
        <is>
          <t>Account exists in EPLAZA only</t>
        </is>
      </c>
    </row>
    <row r="40">
      <c r="A40" t="inlineStr">
        <is>
          <t>120932</t>
        </is>
      </c>
      <c r="B40" t="inlineStr">
        <is>
          <t>Empalme Agua Potable</t>
        </is>
      </c>
      <c r="C40" t="inlineStr">
        <is>
          <t>EPLAZA_ONLY</t>
        </is>
      </c>
      <c r="D40" t="inlineStr">
        <is>
          <t>Account exists in EPLAZA only</t>
        </is>
      </c>
    </row>
    <row r="41">
      <c r="A41" t="inlineStr">
        <is>
          <t>120941</t>
        </is>
      </c>
      <c r="B41" t="inlineStr">
        <is>
          <t>Arquitectura</t>
        </is>
      </c>
      <c r="C41" t="inlineStr">
        <is>
          <t>EPLAZA_ONLY</t>
        </is>
      </c>
      <c r="D41" t="inlineStr">
        <is>
          <t>Account exists in EPLAZA only</t>
        </is>
      </c>
    </row>
    <row r="42">
      <c r="A42" t="inlineStr">
        <is>
          <t>120942</t>
        </is>
      </c>
      <c r="B42" t="inlineStr">
        <is>
          <t>Calculo</t>
        </is>
      </c>
      <c r="C42" t="inlineStr">
        <is>
          <t>EPLAZA_ONLY</t>
        </is>
      </c>
      <c r="D42" t="inlineStr">
        <is>
          <t>Account exists in EPLAZA only</t>
        </is>
      </c>
    </row>
    <row r="43">
      <c r="A43" t="inlineStr">
        <is>
          <t>120943</t>
        </is>
      </c>
      <c r="B43" t="inlineStr">
        <is>
          <t>Electricidad</t>
        </is>
      </c>
      <c r="C43" t="inlineStr">
        <is>
          <t>EPLAZA_ONLY</t>
        </is>
      </c>
      <c r="D43" t="inlineStr">
        <is>
          <t>Account exists in EPLAZA only</t>
        </is>
      </c>
    </row>
    <row r="44">
      <c r="A44" t="inlineStr">
        <is>
          <t>120944</t>
        </is>
      </c>
      <c r="B44" t="inlineStr">
        <is>
          <t>Alcantarillado</t>
        </is>
      </c>
      <c r="C44" t="inlineStr">
        <is>
          <t>EPLAZA_ONLY</t>
        </is>
      </c>
      <c r="D44" t="inlineStr">
        <is>
          <t>Account exists in EPLAZA only</t>
        </is>
      </c>
    </row>
    <row r="45">
      <c r="A45" t="inlineStr">
        <is>
          <t>120945</t>
        </is>
      </c>
      <c r="B45" t="inlineStr">
        <is>
          <t>A/C y/o Calefaccion</t>
        </is>
      </c>
      <c r="C45" t="inlineStr">
        <is>
          <t>EPLAZA_ONLY</t>
        </is>
      </c>
      <c r="D45" t="inlineStr">
        <is>
          <t>Account exists in EPLAZA only</t>
        </is>
      </c>
    </row>
    <row r="46">
      <c r="A46" t="inlineStr">
        <is>
          <t>120946</t>
        </is>
      </c>
      <c r="B46" t="inlineStr">
        <is>
          <t>Mecanica de Suelos</t>
        </is>
      </c>
      <c r="C46" t="inlineStr">
        <is>
          <t>EPLAZA_ONLY</t>
        </is>
      </c>
      <c r="D46" t="inlineStr">
        <is>
          <t>Account exists in EPLAZA only</t>
        </is>
      </c>
    </row>
    <row r="47">
      <c r="A47" t="inlineStr">
        <is>
          <t>120947</t>
        </is>
      </c>
      <c r="B47" t="inlineStr">
        <is>
          <t>Extraccion de Basura</t>
        </is>
      </c>
      <c r="C47" t="inlineStr">
        <is>
          <t>EPLAZA_ONLY</t>
        </is>
      </c>
      <c r="D47" t="inlineStr">
        <is>
          <t>Account exists in EPLAZA only</t>
        </is>
      </c>
    </row>
    <row r="48">
      <c r="A48" t="inlineStr">
        <is>
          <t>120948</t>
        </is>
      </c>
      <c r="B48" t="inlineStr">
        <is>
          <t>Analisis Vial Basico</t>
        </is>
      </c>
      <c r="C48" t="inlineStr">
        <is>
          <t>EPLAZA_ONLY</t>
        </is>
      </c>
      <c r="D48" t="inlineStr">
        <is>
          <t>Account exists in EPLAZA only</t>
        </is>
      </c>
    </row>
    <row r="49">
      <c r="A49" t="inlineStr">
        <is>
          <t>120949</t>
        </is>
      </c>
      <c r="B49" t="inlineStr">
        <is>
          <t>Topografia</t>
        </is>
      </c>
      <c r="C49" t="inlineStr">
        <is>
          <t>EPLAZA_ONLY</t>
        </is>
      </c>
      <c r="D49" t="inlineStr">
        <is>
          <t>Account exists in EPLAZA only</t>
        </is>
      </c>
    </row>
    <row r="50">
      <c r="A50" t="inlineStr">
        <is>
          <t>120950</t>
        </is>
      </c>
      <c r="B50" t="inlineStr">
        <is>
          <t>Proyectista Serviu</t>
        </is>
      </c>
      <c r="C50" t="inlineStr">
        <is>
          <t>EPLAZA_ONLY</t>
        </is>
      </c>
      <c r="D50" t="inlineStr">
        <is>
          <t>Account exists in EPLAZA only</t>
        </is>
      </c>
    </row>
    <row r="51">
      <c r="A51" t="inlineStr">
        <is>
          <t>120951</t>
        </is>
      </c>
      <c r="B51" t="inlineStr">
        <is>
          <t>Corrientes Debiles</t>
        </is>
      </c>
      <c r="C51" t="inlineStr">
        <is>
          <t>EPLAZA_ONLY</t>
        </is>
      </c>
      <c r="D51" t="inlineStr">
        <is>
          <t>Account exists in EPLAZA only</t>
        </is>
      </c>
    </row>
    <row r="52">
      <c r="A52" t="inlineStr">
        <is>
          <t>120952</t>
        </is>
      </c>
      <c r="B52" t="inlineStr">
        <is>
          <t>Legales</t>
        </is>
      </c>
      <c r="C52" t="inlineStr">
        <is>
          <t>EPLAZA_ONLY</t>
        </is>
      </c>
      <c r="D52" t="inlineStr">
        <is>
          <t>Account exists in EPLAZA only</t>
        </is>
      </c>
    </row>
    <row r="53">
      <c r="A53" t="inlineStr">
        <is>
          <t>120953</t>
        </is>
      </c>
      <c r="B53" t="inlineStr">
        <is>
          <t>Insp. Tecnica de Obras (ITO)</t>
        </is>
      </c>
      <c r="C53" t="inlineStr">
        <is>
          <t>EPLAZA_ONLY</t>
        </is>
      </c>
      <c r="D53" t="inlineStr">
        <is>
          <t>Account exists in EPLAZA only</t>
        </is>
      </c>
    </row>
    <row r="54">
      <c r="A54" t="inlineStr">
        <is>
          <t>120954</t>
        </is>
      </c>
      <c r="B54" t="inlineStr">
        <is>
          <t>Legales</t>
        </is>
      </c>
      <c r="C54" t="inlineStr">
        <is>
          <t>EPLAZA_ONLY</t>
        </is>
      </c>
      <c r="D54" t="inlineStr">
        <is>
          <t>Account exists in EPLAZA only</t>
        </is>
      </c>
    </row>
    <row r="55">
      <c r="A55" t="inlineStr">
        <is>
          <t>120955</t>
        </is>
      </c>
      <c r="B55" t="inlineStr">
        <is>
          <t>Paisajismo</t>
        </is>
      </c>
      <c r="C55" t="inlineStr">
        <is>
          <t>EPLAZA_ONLY</t>
        </is>
      </c>
      <c r="D55" t="inlineStr">
        <is>
          <t>Account exists in EPLAZA only</t>
        </is>
      </c>
    </row>
    <row r="56">
      <c r="A56" t="inlineStr">
        <is>
          <t>120956</t>
        </is>
      </c>
      <c r="B56" t="inlineStr">
        <is>
          <t>Fotocopia Planos</t>
        </is>
      </c>
      <c r="C56" t="inlineStr">
        <is>
          <t>EPLAZA_ONLY</t>
        </is>
      </c>
      <c r="D56" t="inlineStr">
        <is>
          <t>Account exists in EPLAZA only</t>
        </is>
      </c>
    </row>
    <row r="57">
      <c r="A57" t="inlineStr">
        <is>
          <t>120957</t>
        </is>
      </c>
      <c r="B57" t="inlineStr">
        <is>
          <t>Seguridad</t>
        </is>
      </c>
      <c r="C57" t="inlineStr">
        <is>
          <t>EPLAZA_ONLY</t>
        </is>
      </c>
      <c r="D57" t="inlineStr">
        <is>
          <t>Account exists in EPLAZA only</t>
        </is>
      </c>
    </row>
    <row r="58">
      <c r="A58" t="inlineStr">
        <is>
          <t>120958</t>
        </is>
      </c>
      <c r="B58" t="inlineStr">
        <is>
          <t>Instalaciones Sanitarias</t>
        </is>
      </c>
      <c r="C58" t="inlineStr">
        <is>
          <t>EPLAZA_ONLY</t>
        </is>
      </c>
      <c r="D58" t="inlineStr">
        <is>
          <t>Account exists in EPLAZA only</t>
        </is>
      </c>
    </row>
    <row r="59">
      <c r="A59" t="inlineStr">
        <is>
          <t>120959</t>
        </is>
      </c>
      <c r="B59" t="inlineStr">
        <is>
          <t>Otros Honorarios Profesionales</t>
        </is>
      </c>
      <c r="C59" t="inlineStr">
        <is>
          <t>EPLAZA_ONLY</t>
        </is>
      </c>
      <c r="D59" t="inlineStr">
        <is>
          <t>Account exists in EPLAZA only</t>
        </is>
      </c>
    </row>
    <row r="60">
      <c r="A60" t="inlineStr">
        <is>
          <t>120960</t>
        </is>
      </c>
      <c r="B60" t="inlineStr">
        <is>
          <t>Calculista Revisor</t>
        </is>
      </c>
      <c r="C60" t="inlineStr">
        <is>
          <t>EPLAZA_ONLY</t>
        </is>
      </c>
      <c r="D60" t="inlineStr">
        <is>
          <t>Account exists in EPLAZA only</t>
        </is>
      </c>
    </row>
    <row r="61">
      <c r="A61" t="inlineStr">
        <is>
          <t>120961</t>
        </is>
      </c>
      <c r="B61" t="inlineStr">
        <is>
          <t>Building Information Modeling (BIM)</t>
        </is>
      </c>
      <c r="C61" t="inlineStr">
        <is>
          <t>EPLAZA_ONLY</t>
        </is>
      </c>
      <c r="D61" t="inlineStr">
        <is>
          <t>Account exists in EPLAZA only</t>
        </is>
      </c>
    </row>
    <row r="62">
      <c r="A62" t="inlineStr">
        <is>
          <t>120971</t>
        </is>
      </c>
      <c r="B62" t="inlineStr">
        <is>
          <t>Contrato Suma Alzada</t>
        </is>
      </c>
      <c r="C62" t="inlineStr">
        <is>
          <t>EPLAZA_ONLY</t>
        </is>
      </c>
      <c r="D62" t="inlineStr">
        <is>
          <t>Account exists in EPLAZA only</t>
        </is>
      </c>
    </row>
    <row r="63">
      <c r="A63" t="inlineStr">
        <is>
          <t>120972</t>
        </is>
      </c>
      <c r="B63" t="inlineStr">
        <is>
          <t>Credito Especial</t>
        </is>
      </c>
      <c r="C63" t="inlineStr">
        <is>
          <t>EPLAZA_ONLY</t>
        </is>
      </c>
      <c r="D63" t="inlineStr">
        <is>
          <t>Account exists in EPLAZA only</t>
        </is>
      </c>
    </row>
    <row r="64">
      <c r="A64" t="inlineStr">
        <is>
          <t>120973</t>
        </is>
      </c>
      <c r="B64" t="inlineStr">
        <is>
          <t>Otros Const. y Urbanizacion</t>
        </is>
      </c>
      <c r="C64" t="inlineStr">
        <is>
          <t>EPLAZA_ONLY</t>
        </is>
      </c>
      <c r="D64" t="inlineStr">
        <is>
          <t>Account exists in EPLAZA only</t>
        </is>
      </c>
    </row>
    <row r="65">
      <c r="A65" t="inlineStr">
        <is>
          <t>120974</t>
        </is>
      </c>
      <c r="B65" t="inlineStr">
        <is>
          <t>Subcontratos Inmobiliaria</t>
        </is>
      </c>
      <c r="C65" t="inlineStr">
        <is>
          <t>EPLAZA_ONLY</t>
        </is>
      </c>
      <c r="D65" t="inlineStr">
        <is>
          <t>Account exists in EPLAZA only</t>
        </is>
      </c>
    </row>
    <row r="66">
      <c r="A66" t="inlineStr">
        <is>
          <t>120975</t>
        </is>
      </c>
      <c r="B66" t="inlineStr">
        <is>
          <t>Postventa</t>
        </is>
      </c>
      <c r="C66" t="inlineStr">
        <is>
          <t>EPLAZA_ONLY</t>
        </is>
      </c>
      <c r="D66" t="inlineStr">
        <is>
          <t>Account exists in EPLAZA only</t>
        </is>
      </c>
    </row>
    <row r="67">
      <c r="A67" t="inlineStr">
        <is>
          <t>120980</t>
        </is>
      </c>
      <c r="B67" t="inlineStr">
        <is>
          <t>Adicional Empalmes</t>
        </is>
      </c>
      <c r="C67" t="inlineStr">
        <is>
          <t>EPLAZA_ONLY</t>
        </is>
      </c>
      <c r="D67" t="inlineStr">
        <is>
          <t>Account exists in EPLAZA only</t>
        </is>
      </c>
    </row>
    <row r="68">
      <c r="A68" t="inlineStr">
        <is>
          <t>120981</t>
        </is>
      </c>
      <c r="B68" t="inlineStr">
        <is>
          <t>Demolicion y Obras Exteriores</t>
        </is>
      </c>
      <c r="C68" t="inlineStr">
        <is>
          <t>EPLAZA_ONLY</t>
        </is>
      </c>
      <c r="D68" t="inlineStr">
        <is>
          <t>Account exists in EPLAZA only</t>
        </is>
      </c>
    </row>
    <row r="69">
      <c r="A69" t="inlineStr">
        <is>
          <t>120991</t>
        </is>
      </c>
      <c r="B69" t="inlineStr">
        <is>
          <t>Oficinas</t>
        </is>
      </c>
      <c r="C69" t="inlineStr">
        <is>
          <t>EPLAZA_ONLY</t>
        </is>
      </c>
      <c r="D69" t="inlineStr">
        <is>
          <t>Account exists in EPLAZA only</t>
        </is>
      </c>
    </row>
    <row r="70">
      <c r="A70" t="inlineStr">
        <is>
          <t>120993</t>
        </is>
      </c>
      <c r="B70" t="inlineStr">
        <is>
          <t>Bodegas</t>
        </is>
      </c>
      <c r="C70" t="inlineStr">
        <is>
          <t>EPLAZA_ONLY</t>
        </is>
      </c>
      <c r="D70" t="inlineStr">
        <is>
          <t>Account exists in EPLAZA only</t>
        </is>
      </c>
    </row>
    <row r="71">
      <c r="A71" t="inlineStr">
        <is>
          <t>120994</t>
        </is>
      </c>
      <c r="B71" t="inlineStr">
        <is>
          <t>Estacionamientos</t>
        </is>
      </c>
      <c r="C71" t="inlineStr">
        <is>
          <t>EPLAZA_ONLY</t>
        </is>
      </c>
      <c r="D71" t="inlineStr">
        <is>
          <t>Account exists in EPLAZA only</t>
        </is>
      </c>
    </row>
    <row r="72">
      <c r="A72" t="inlineStr">
        <is>
          <t>120995</t>
        </is>
      </c>
      <c r="B72" t="inlineStr">
        <is>
          <t>Locales Comerciales</t>
        </is>
      </c>
      <c r="C72" t="inlineStr">
        <is>
          <t>EPLAZA_ONLY</t>
        </is>
      </c>
      <c r="D72" t="inlineStr">
        <is>
          <t>Account exists in EPLAZA only</t>
        </is>
      </c>
    </row>
    <row r="73">
      <c r="A73" t="inlineStr">
        <is>
          <t>120996</t>
        </is>
      </c>
      <c r="B73" t="inlineStr">
        <is>
          <t>Mix Otros Inmuebles</t>
        </is>
      </c>
      <c r="C73" t="inlineStr">
        <is>
          <t>EPLAZA_ONLY</t>
        </is>
      </c>
      <c r="D73" t="inlineStr">
        <is>
          <t>Account exists in EPLAZA only</t>
        </is>
      </c>
    </row>
    <row r="74">
      <c r="A74" t="inlineStr">
        <is>
          <t>120997</t>
        </is>
      </c>
      <c r="B74" t="inlineStr">
        <is>
          <t>Edificio Terminado</t>
        </is>
      </c>
      <c r="C74" t="inlineStr">
        <is>
          <t>EPLAZA_ONLY</t>
        </is>
      </c>
      <c r="D74" t="inlineStr">
        <is>
          <t>Account exists in EPLAZA only</t>
        </is>
      </c>
    </row>
    <row r="75">
      <c r="A75" t="inlineStr">
        <is>
          <t>121011</t>
        </is>
      </c>
      <c r="B75" t="inlineStr">
        <is>
          <t>Publicidad en Medios</t>
        </is>
      </c>
      <c r="C75" t="inlineStr">
        <is>
          <t>EPLAZA_ONLY</t>
        </is>
      </c>
      <c r="D75" t="inlineStr">
        <is>
          <t>Account exists in EPLAZA only</t>
        </is>
      </c>
    </row>
    <row r="76">
      <c r="A76" t="inlineStr">
        <is>
          <t>121012</t>
        </is>
      </c>
      <c r="B76" t="inlineStr">
        <is>
          <t>Honorarios Publicista</t>
        </is>
      </c>
      <c r="C76" t="inlineStr">
        <is>
          <t>EPLAZA_ONLY</t>
        </is>
      </c>
      <c r="D76" t="inlineStr">
        <is>
          <t>Account exists in EPLAZA only</t>
        </is>
      </c>
    </row>
    <row r="77">
      <c r="A77" t="inlineStr">
        <is>
          <t>121013</t>
        </is>
      </c>
      <c r="B77" t="inlineStr">
        <is>
          <t>Material de Distribucion</t>
        </is>
      </c>
      <c r="C77" t="inlineStr">
        <is>
          <t>EPLAZA_ONLY</t>
        </is>
      </c>
      <c r="D77" t="inlineStr">
        <is>
          <t>Account exists in EPLAZA only</t>
        </is>
      </c>
    </row>
    <row r="78">
      <c r="A78" t="inlineStr">
        <is>
          <t>121015</t>
        </is>
      </c>
      <c r="B78" t="inlineStr">
        <is>
          <t>Señalética</t>
        </is>
      </c>
      <c r="C78" t="inlineStr">
        <is>
          <t>EPLAZA_ONLY</t>
        </is>
      </c>
      <c r="D78" t="inlineStr">
        <is>
          <t>Account exists in EPLAZA only</t>
        </is>
      </c>
    </row>
    <row r="79">
      <c r="A79" t="inlineStr">
        <is>
          <t>121016</t>
        </is>
      </c>
      <c r="B79" t="inlineStr">
        <is>
          <t>Estudio de Mercado</t>
        </is>
      </c>
      <c r="C79" t="inlineStr">
        <is>
          <t>EPLAZA_ONLY</t>
        </is>
      </c>
      <c r="D79" t="inlineStr">
        <is>
          <t>Account exists in EPLAZA only</t>
        </is>
      </c>
    </row>
    <row r="80">
      <c r="A80" t="inlineStr">
        <is>
          <t>121017</t>
        </is>
      </c>
      <c r="B80" t="inlineStr">
        <is>
          <t>Otras Asesorías</t>
        </is>
      </c>
      <c r="C80" t="inlineStr">
        <is>
          <t>EPLAZA_ONLY</t>
        </is>
      </c>
      <c r="D80" t="inlineStr">
        <is>
          <t>Account exists in EPLAZA only</t>
        </is>
      </c>
    </row>
    <row r="81">
      <c r="A81" t="inlineStr">
        <is>
          <t>121021</t>
        </is>
      </c>
      <c r="B81" t="inlineStr">
        <is>
          <t>Construccion Sala de Ventas</t>
        </is>
      </c>
      <c r="C81" t="inlineStr">
        <is>
          <t>EPLAZA_ONLY</t>
        </is>
      </c>
      <c r="D81" t="inlineStr">
        <is>
          <t>Account exists in EPLAZA only</t>
        </is>
      </c>
    </row>
    <row r="82">
      <c r="A82" t="inlineStr">
        <is>
          <t>121022</t>
        </is>
      </c>
      <c r="B82" t="inlineStr">
        <is>
          <t>Construccion Piloto</t>
        </is>
      </c>
      <c r="C82" t="inlineStr">
        <is>
          <t>EPLAZA_ONLY</t>
        </is>
      </c>
      <c r="D82" t="inlineStr">
        <is>
          <t>Account exists in EPLAZA only</t>
        </is>
      </c>
    </row>
    <row r="83">
      <c r="A83" t="inlineStr">
        <is>
          <t>121023</t>
        </is>
      </c>
      <c r="B83" t="inlineStr">
        <is>
          <t>Decoracion Piloto</t>
        </is>
      </c>
      <c r="C83" t="inlineStr">
        <is>
          <t>EPLAZA_ONLY</t>
        </is>
      </c>
      <c r="D83" t="inlineStr">
        <is>
          <t>Account exists in EPLAZA only</t>
        </is>
      </c>
    </row>
    <row r="84">
      <c r="A84" t="inlineStr">
        <is>
          <t>121025</t>
        </is>
      </c>
      <c r="B84" t="inlineStr">
        <is>
          <t>Equipamiento Computacional</t>
        </is>
      </c>
      <c r="C84" t="inlineStr">
        <is>
          <t>EPLAZA_ONLY</t>
        </is>
      </c>
      <c r="D84" t="inlineStr">
        <is>
          <t>Account exists in EPLAZA only</t>
        </is>
      </c>
    </row>
    <row r="85">
      <c r="A85" t="inlineStr">
        <is>
          <t>121026</t>
        </is>
      </c>
      <c r="B85" t="inlineStr">
        <is>
          <t>Mobiliario Sala de Ventas</t>
        </is>
      </c>
      <c r="C85" t="inlineStr">
        <is>
          <t>EPLAZA_ONLY</t>
        </is>
      </c>
      <c r="D85" t="inlineStr">
        <is>
          <t>Account exists in EPLAZA only</t>
        </is>
      </c>
    </row>
    <row r="86">
      <c r="A86" t="inlineStr">
        <is>
          <t>121027</t>
        </is>
      </c>
      <c r="B86" t="inlineStr">
        <is>
          <t>Gastos Generales Sala de Ventas</t>
        </is>
      </c>
      <c r="C86" t="inlineStr">
        <is>
          <t>EPLAZA_ONLY</t>
        </is>
      </c>
      <c r="D86" t="inlineStr">
        <is>
          <t>Account exists in EPLAZA only</t>
        </is>
      </c>
    </row>
    <row r="87">
      <c r="A87" t="inlineStr">
        <is>
          <t>121028</t>
        </is>
      </c>
      <c r="B87" t="inlineStr">
        <is>
          <t>Sistema Cotizacion Sala de Ventas</t>
        </is>
      </c>
      <c r="C87" t="inlineStr">
        <is>
          <t>EPLAZA_ONLY</t>
        </is>
      </c>
      <c r="D87" t="inlineStr">
        <is>
          <t>Account exists in EPLAZA only</t>
        </is>
      </c>
    </row>
    <row r="88">
      <c r="A88" t="inlineStr">
        <is>
          <t>121029</t>
        </is>
      </c>
      <c r="B88" t="inlineStr">
        <is>
          <t>Soporte y Mantencion Informatica</t>
        </is>
      </c>
      <c r="C88" t="inlineStr">
        <is>
          <t>EPLAZA_ONLY</t>
        </is>
      </c>
      <c r="D88" t="inlineStr">
        <is>
          <t>Account exists in EPLAZA only</t>
        </is>
      </c>
    </row>
    <row r="89">
      <c r="A89" t="inlineStr">
        <is>
          <t>1109606</t>
        </is>
      </c>
      <c r="B89" t="inlineStr">
        <is>
          <t>Mobiliario Sala de ventas</t>
        </is>
      </c>
      <c r="C89" t="inlineStr">
        <is>
          <t>EPLAZA_ONLY</t>
        </is>
      </c>
      <c r="D89" t="inlineStr">
        <is>
          <t>Account exists in EPLAZA only</t>
        </is>
      </c>
    </row>
    <row r="90">
      <c r="A90" t="inlineStr">
        <is>
          <t>1109609</t>
        </is>
      </c>
      <c r="B90" t="inlineStr">
        <is>
          <t>Gastos generales sala de ventas</t>
        </is>
      </c>
      <c r="C90" t="inlineStr">
        <is>
          <t>EPLAZA_ONLY</t>
        </is>
      </c>
      <c r="D90" t="inlineStr">
        <is>
          <t>Account exists in EPLAZA only</t>
        </is>
      </c>
    </row>
    <row r="91">
      <c r="A91" t="inlineStr">
        <is>
          <t>121031</t>
        </is>
      </c>
      <c r="B91" t="inlineStr">
        <is>
          <t>Costo Corretaje</t>
        </is>
      </c>
      <c r="C91" t="inlineStr">
        <is>
          <t>EPLAZA_ONLY</t>
        </is>
      </c>
      <c r="D91" t="inlineStr">
        <is>
          <t>Account exists in EPLAZA only</t>
        </is>
      </c>
    </row>
    <row r="92">
      <c r="A92" t="inlineStr">
        <is>
          <t>121041</t>
        </is>
      </c>
      <c r="B92" t="inlineStr">
        <is>
          <t>Asesoria Proyecto</t>
        </is>
      </c>
      <c r="C92" t="inlineStr">
        <is>
          <t>EPLAZA_ONLY</t>
        </is>
      </c>
      <c r="D92" t="inlineStr">
        <is>
          <t>Account exists in EPLAZA only</t>
        </is>
      </c>
    </row>
    <row r="93">
      <c r="A93" t="inlineStr">
        <is>
          <t>121051</t>
        </is>
      </c>
      <c r="B93" t="inlineStr">
        <is>
          <t>Imprevistos</t>
        </is>
      </c>
      <c r="C93" t="inlineStr">
        <is>
          <t>EPLAZA_ONLY</t>
        </is>
      </c>
      <c r="D93" t="inlineStr">
        <is>
          <t>Account exists in EPLAZA only</t>
        </is>
      </c>
    </row>
    <row r="94">
      <c r="A94" t="inlineStr">
        <is>
          <t>1109902</t>
        </is>
      </c>
      <c r="B94" t="inlineStr">
        <is>
          <t>Post-Venta</t>
        </is>
      </c>
      <c r="C94" t="inlineStr">
        <is>
          <t>EPLAZA_ONLY</t>
        </is>
      </c>
      <c r="D94" t="inlineStr">
        <is>
          <t>Account exists in EPLAZA only</t>
        </is>
      </c>
    </row>
    <row r="95">
      <c r="A95" t="inlineStr">
        <is>
          <t>1109903</t>
        </is>
      </c>
      <c r="B95" t="inlineStr">
        <is>
          <t>Juicios y Acuerdos Vecinos</t>
        </is>
      </c>
      <c r="C95" t="inlineStr">
        <is>
          <t>EPLAZA_ONLY</t>
        </is>
      </c>
      <c r="D95" t="inlineStr">
        <is>
          <t>Account exists in EPLAZA only</t>
        </is>
      </c>
    </row>
    <row r="96">
      <c r="A96" t="inlineStr">
        <is>
          <t>121061</t>
        </is>
      </c>
      <c r="B96" t="inlineStr">
        <is>
          <t>Gastos Bancarios</t>
        </is>
      </c>
      <c r="C96" t="inlineStr">
        <is>
          <t>EPLAZA_ONLY</t>
        </is>
      </c>
      <c r="D96" t="inlineStr">
        <is>
          <t>Account exists in EPLAZA only</t>
        </is>
      </c>
    </row>
    <row r="97">
      <c r="A97" t="inlineStr">
        <is>
          <t>121062</t>
        </is>
      </c>
      <c r="B97" t="inlineStr">
        <is>
          <t>Impto Timbre Prestamos</t>
        </is>
      </c>
      <c r="C97" t="inlineStr">
        <is>
          <t>EPLAZA_ONLY</t>
        </is>
      </c>
      <c r="D97" t="inlineStr">
        <is>
          <t>Account exists in EPLAZA only</t>
        </is>
      </c>
    </row>
    <row r="98">
      <c r="A98" t="inlineStr">
        <is>
          <t>121063</t>
        </is>
      </c>
      <c r="B98" t="inlineStr">
        <is>
          <t>Otros Gastos Bancarios</t>
        </is>
      </c>
      <c r="C98" t="inlineStr">
        <is>
          <t>EPLAZA_ONLY</t>
        </is>
      </c>
      <c r="D98" t="inlineStr">
        <is>
          <t>Account exists in EPLAZA only</t>
        </is>
      </c>
    </row>
    <row r="99">
      <c r="A99" t="inlineStr">
        <is>
          <t>121064</t>
        </is>
      </c>
      <c r="B99" t="inlineStr">
        <is>
          <t>Prima Seguro Venta en Verde</t>
        </is>
      </c>
      <c r="C99" t="inlineStr">
        <is>
          <t>EPLAZA_ONLY</t>
        </is>
      </c>
      <c r="D99" t="inlineStr">
        <is>
          <t>Account exists in EPLAZA only</t>
        </is>
      </c>
    </row>
    <row r="100">
      <c r="A100" t="inlineStr">
        <is>
          <t>121065</t>
        </is>
      </c>
      <c r="B100" t="inlineStr">
        <is>
          <t>Intereses Pagados</t>
        </is>
      </c>
      <c r="C100" t="inlineStr">
        <is>
          <t>EPLAZA_ONLY</t>
        </is>
      </c>
      <c r="D100" t="inlineStr">
        <is>
          <t>Account exists in EPLAZA only</t>
        </is>
      </c>
    </row>
    <row r="101">
      <c r="A101" t="inlineStr">
        <is>
          <t>121067</t>
        </is>
      </c>
      <c r="B101" t="inlineStr">
        <is>
          <t>Intereses Credito Terreno</t>
        </is>
      </c>
      <c r="C101" t="inlineStr">
        <is>
          <t>EPLAZA_ONLY</t>
        </is>
      </c>
      <c r="D101" t="inlineStr">
        <is>
          <t>Account exists in EPLAZA only</t>
        </is>
      </c>
    </row>
    <row r="102">
      <c r="A102" t="inlineStr">
        <is>
          <t>121068</t>
        </is>
      </c>
      <c r="B102" t="inlineStr">
        <is>
          <t>Intereses Credito Construccion</t>
        </is>
      </c>
      <c r="C102" t="inlineStr">
        <is>
          <t>EPLAZA_ONLY</t>
        </is>
      </c>
      <c r="D102" t="inlineStr">
        <is>
          <t>Account exists in EPLAZA only</t>
        </is>
      </c>
    </row>
    <row r="103">
      <c r="A103" t="inlineStr">
        <is>
          <t>121069</t>
        </is>
      </c>
      <c r="B103" t="inlineStr">
        <is>
          <t>Intereses Linea Credito Cta. Cte.</t>
        </is>
      </c>
      <c r="C103" t="inlineStr">
        <is>
          <t>EPLAZA_ONLY</t>
        </is>
      </c>
      <c r="D103" t="inlineStr">
        <is>
          <t>Account exists in EPLAZA only</t>
        </is>
      </c>
    </row>
    <row r="104">
      <c r="A104" t="inlineStr">
        <is>
          <t>121071</t>
        </is>
      </c>
      <c r="B104" t="inlineStr">
        <is>
          <t>Gastos Generales</t>
        </is>
      </c>
      <c r="C104" t="inlineStr">
        <is>
          <t>EPLAZA_ONLY</t>
        </is>
      </c>
      <c r="D104" t="inlineStr">
        <is>
          <t>Account exists in EPLAZA only</t>
        </is>
      </c>
    </row>
    <row r="105">
      <c r="A105" t="inlineStr">
        <is>
          <t>121072</t>
        </is>
      </c>
      <c r="B105" t="inlineStr">
        <is>
          <t>Gtos Generales Legales Sociedad</t>
        </is>
      </c>
      <c r="C105" t="inlineStr">
        <is>
          <t>EPLAZA_ONLY</t>
        </is>
      </c>
      <c r="D105" t="inlineStr">
        <is>
          <t>Account exists in EPLAZA only</t>
        </is>
      </c>
    </row>
    <row r="106">
      <c r="A106" t="inlineStr">
        <is>
          <t>121073</t>
        </is>
      </c>
      <c r="B106" t="inlineStr">
        <is>
          <t>Asesoria Contable y Tributaria</t>
        </is>
      </c>
      <c r="C106" t="inlineStr">
        <is>
          <t>EPLAZA_ONLY</t>
        </is>
      </c>
      <c r="D106" t="inlineStr">
        <is>
          <t>Account exists in EPLAZA only</t>
        </is>
      </c>
    </row>
    <row r="107">
      <c r="A107" t="inlineStr">
        <is>
          <t>1109941</t>
        </is>
      </c>
      <c r="B107" t="inlineStr">
        <is>
          <t>Traspaso a Costo de Construccion</t>
        </is>
      </c>
      <c r="C107" t="inlineStr">
        <is>
          <t>EPLAZA_ONLY</t>
        </is>
      </c>
      <c r="D107" t="inlineStr">
        <is>
          <t>Account exists in EPLAZA only</t>
        </is>
      </c>
    </row>
    <row r="108">
      <c r="A108" t="inlineStr">
        <is>
          <t>121092</t>
        </is>
      </c>
      <c r="B108" t="inlineStr">
        <is>
          <t>Traspaso a Gastos</t>
        </is>
      </c>
      <c r="C108" t="inlineStr">
        <is>
          <t>EPLAZA_ONLY</t>
        </is>
      </c>
      <c r="D108" t="inlineStr">
        <is>
          <t>Account exists in EPLAZA only</t>
        </is>
      </c>
    </row>
    <row r="109">
      <c r="A109" t="inlineStr">
        <is>
          <t>1109951</t>
        </is>
      </c>
      <c r="B109" t="inlineStr">
        <is>
          <t>Gastos Comunes y Mantención</t>
        </is>
      </c>
      <c r="C109" t="inlineStr">
        <is>
          <t>EPLAZA_ONLY</t>
        </is>
      </c>
      <c r="D109" t="inlineStr">
        <is>
          <t>Account exists in EPLAZA only</t>
        </is>
      </c>
    </row>
    <row r="110">
      <c r="A110" t="inlineStr">
        <is>
          <t>1109952</t>
        </is>
      </c>
      <c r="B110" t="inlineStr">
        <is>
          <t>Seguros S/Inmuebles x Vender</t>
        </is>
      </c>
      <c r="C110" t="inlineStr">
        <is>
          <t>EPLAZA_ONLY</t>
        </is>
      </c>
      <c r="D110" t="inlineStr">
        <is>
          <t>Account exists in EPLAZA only</t>
        </is>
      </c>
    </row>
    <row r="111">
      <c r="A111" t="inlineStr">
        <is>
          <t>121301</t>
        </is>
      </c>
      <c r="B111" t="inlineStr">
        <is>
          <t>Impuestos Diferidos</t>
        </is>
      </c>
      <c r="C111" t="inlineStr">
        <is>
          <t>EPLAZA_ONLY</t>
        </is>
      </c>
      <c r="D111" t="inlineStr">
        <is>
          <t>Account exists in EPLAZA only</t>
        </is>
      </c>
    </row>
    <row r="112">
      <c r="A112" t="inlineStr">
        <is>
          <t>210121</t>
        </is>
      </c>
      <c r="B112" t="inlineStr">
        <is>
          <t>Ptmos en MN NR</t>
        </is>
      </c>
      <c r="C112" t="inlineStr">
        <is>
          <t>EPLAZA_ONLY</t>
        </is>
      </c>
      <c r="D112" t="inlineStr">
        <is>
          <t>Account exists in EPLAZA only</t>
        </is>
      </c>
    </row>
    <row r="113">
      <c r="A113" t="inlineStr">
        <is>
          <t>210123</t>
        </is>
      </c>
      <c r="B113" t="inlineStr">
        <is>
          <t>Ptmos en MN R UF</t>
        </is>
      </c>
      <c r="C113" t="inlineStr">
        <is>
          <t>EPLAZA_ONLY</t>
        </is>
      </c>
      <c r="D113" t="inlineStr">
        <is>
          <t>Account exists in EPLAZA only</t>
        </is>
      </c>
    </row>
    <row r="114">
      <c r="A114" t="inlineStr">
        <is>
          <t>210314</t>
        </is>
      </c>
      <c r="B114" t="inlineStr">
        <is>
          <t>Anticipos de Clientes</t>
        </is>
      </c>
      <c r="C114" t="inlineStr">
        <is>
          <t>EPLAZA_ONLY</t>
        </is>
      </c>
      <c r="D114" t="inlineStr">
        <is>
          <t>Account exists in EPLAZA only</t>
        </is>
      </c>
    </row>
    <row r="115">
      <c r="A115" t="inlineStr">
        <is>
          <t>210315</t>
        </is>
      </c>
      <c r="B115" t="inlineStr">
        <is>
          <t>Cuentas por Pagar</t>
        </is>
      </c>
      <c r="C115" t="inlineStr">
        <is>
          <t>EPLAZA_ONLY</t>
        </is>
      </c>
      <c r="D115" t="inlineStr">
        <is>
          <t>Account exists in EPLAZA only</t>
        </is>
      </c>
    </row>
    <row r="116">
      <c r="A116" s="12" t="inlineStr">
        <is>
          <t>210511</t>
        </is>
      </c>
      <c r="B116" s="12" t="inlineStr">
        <is>
          <t>Cta. Cte. Impulsa Desarrollos Inmob. SPA</t>
        </is>
      </c>
      <c r="C116" s="12" t="inlineStr">
        <is>
          <t>DESC_CONFLICT</t>
        </is>
      </c>
      <c r="D116" s="12" t="inlineStr">
        <is>
          <t>EP='Cta. Cte. Impulsa Desarrollos Inmob. SPA' vs IM='Cta. Cte. Inmobiliaria EPlaza SPA'</t>
        </is>
      </c>
    </row>
    <row r="117">
      <c r="A117" t="inlineStr">
        <is>
          <t>210513</t>
        </is>
      </c>
      <c r="B117" t="inlineStr">
        <is>
          <t>Cta. Cte. Impulsa Corretajes y Gestion SPA</t>
        </is>
      </c>
      <c r="C117" t="inlineStr">
        <is>
          <t>EPLAZA_ONLY</t>
        </is>
      </c>
      <c r="D117" t="inlineStr">
        <is>
          <t>Account exists in EPLAZA only</t>
        </is>
      </c>
    </row>
    <row r="118">
      <c r="A118" t="inlineStr">
        <is>
          <t>210514</t>
        </is>
      </c>
      <c r="B118" t="inlineStr">
        <is>
          <t>Cta. Cte. Inversiones San Luis Ltda.</t>
        </is>
      </c>
      <c r="C118" t="inlineStr">
        <is>
          <t>EPLAZA_ONLY</t>
        </is>
      </c>
      <c r="D118" t="inlineStr">
        <is>
          <t>Account exists in EPLAZA only</t>
        </is>
      </c>
    </row>
    <row r="119">
      <c r="A119" t="inlineStr">
        <is>
          <t>210911</t>
        </is>
      </c>
      <c r="B119" t="inlineStr">
        <is>
          <t>Remuneraciones por Pagar</t>
        </is>
      </c>
      <c r="C119" t="inlineStr">
        <is>
          <t>EPLAZA_ONLY</t>
        </is>
      </c>
      <c r="D119" t="inlineStr">
        <is>
          <t>Account exists in EPLAZA only</t>
        </is>
      </c>
    </row>
    <row r="120">
      <c r="A120" t="inlineStr">
        <is>
          <t>210912</t>
        </is>
      </c>
      <c r="B120" t="inlineStr">
        <is>
          <t>Finiquitos por Pagar</t>
        </is>
      </c>
      <c r="C120" t="inlineStr">
        <is>
          <t>EPLAZA_ONLY</t>
        </is>
      </c>
      <c r="D120" t="inlineStr">
        <is>
          <t>Account exists in EPLAZA only</t>
        </is>
      </c>
    </row>
    <row r="121">
      <c r="A121" t="inlineStr">
        <is>
          <t>210921</t>
        </is>
      </c>
      <c r="B121" t="inlineStr">
        <is>
          <t>A.F.P.</t>
        </is>
      </c>
      <c r="C121" t="inlineStr">
        <is>
          <t>EPLAZA_ONLY</t>
        </is>
      </c>
      <c r="D121" t="inlineStr">
        <is>
          <t>Account exists in EPLAZA only</t>
        </is>
      </c>
    </row>
    <row r="122">
      <c r="A122" t="inlineStr">
        <is>
          <t>210922</t>
        </is>
      </c>
      <c r="B122" t="inlineStr">
        <is>
          <t>Isapres</t>
        </is>
      </c>
      <c r="C122" t="inlineStr">
        <is>
          <t>EPLAZA_ONLY</t>
        </is>
      </c>
      <c r="D122" t="inlineStr">
        <is>
          <t>Account exists in EPLAZA only</t>
        </is>
      </c>
    </row>
    <row r="123">
      <c r="A123" t="inlineStr">
        <is>
          <t>210923</t>
        </is>
      </c>
      <c r="B123" t="inlineStr">
        <is>
          <t>Otras Entidades Previsionales</t>
        </is>
      </c>
      <c r="C123" t="inlineStr">
        <is>
          <t>EPLAZA_ONLY</t>
        </is>
      </c>
      <c r="D123" t="inlineStr">
        <is>
          <t>Account exists in EPLAZA only</t>
        </is>
      </c>
    </row>
    <row r="124">
      <c r="A124" t="inlineStr">
        <is>
          <t>210931</t>
        </is>
      </c>
      <c r="B124" t="inlineStr">
        <is>
          <t>Impuesto Unico a Trabajadores</t>
        </is>
      </c>
      <c r="C124" t="inlineStr">
        <is>
          <t>EPLAZA_ONLY</t>
        </is>
      </c>
      <c r="D124" t="inlineStr">
        <is>
          <t>Account exists in EPLAZA only</t>
        </is>
      </c>
    </row>
    <row r="125">
      <c r="A125" t="inlineStr">
        <is>
          <t>210933</t>
        </is>
      </c>
      <c r="B125" t="inlineStr">
        <is>
          <t>IVA Debito Fiscal</t>
        </is>
      </c>
      <c r="C125" t="inlineStr">
        <is>
          <t>EPLAZA_ONLY</t>
        </is>
      </c>
      <c r="D125" t="inlineStr">
        <is>
          <t>Account exists in EPLAZA only</t>
        </is>
      </c>
    </row>
    <row r="126">
      <c r="A126" t="inlineStr">
        <is>
          <t>210935</t>
        </is>
      </c>
      <c r="B126" t="inlineStr">
        <is>
          <t>PPM por Enterar</t>
        </is>
      </c>
      <c r="C126" t="inlineStr">
        <is>
          <t>EPLAZA_ONLY</t>
        </is>
      </c>
      <c r="D126" t="inlineStr">
        <is>
          <t>Account exists in EPLAZA only</t>
        </is>
      </c>
    </row>
    <row r="127">
      <c r="A127" s="12" t="inlineStr">
        <is>
          <t>220111</t>
        </is>
      </c>
      <c r="B127" s="12" t="inlineStr">
        <is>
          <t>Ptmos en MN NR a L/Pzo</t>
        </is>
      </c>
      <c r="C127" s="12" t="inlineStr">
        <is>
          <t>DESC_CONFLICT</t>
        </is>
      </c>
      <c r="D127" s="12" t="inlineStr">
        <is>
          <t>EP='Ptmos en MN NR a L/Pzo' vs IM='Ptmos en MN R UF a L/Pzo'</t>
        </is>
      </c>
    </row>
    <row r="128">
      <c r="A128" t="inlineStr">
        <is>
          <t>220112</t>
        </is>
      </c>
      <c r="B128" t="inlineStr">
        <is>
          <t>Ptmos en MN R UF a L/Pzo</t>
        </is>
      </c>
      <c r="C128" t="inlineStr">
        <is>
          <t>EPLAZA_ONLY</t>
        </is>
      </c>
      <c r="D128" t="inlineStr">
        <is>
          <t>Account exists in EPLAZA only</t>
        </is>
      </c>
    </row>
    <row r="129">
      <c r="A129" t="inlineStr">
        <is>
          <t>220311</t>
        </is>
      </c>
      <c r="B129" t="inlineStr">
        <is>
          <t>Documentos por Pagar L/Pzo</t>
        </is>
      </c>
      <c r="C129" t="inlineStr">
        <is>
          <t>EPLAZA_ONLY</t>
        </is>
      </c>
      <c r="D129" t="inlineStr">
        <is>
          <t>Account exists in EPLAZA only</t>
        </is>
      </c>
    </row>
    <row r="130">
      <c r="A130" t="inlineStr">
        <is>
          <t>220412</t>
        </is>
      </c>
      <c r="B130" t="inlineStr">
        <is>
          <t>Garantia Clientes L/Pzo</t>
        </is>
      </c>
      <c r="C130" t="inlineStr">
        <is>
          <t>EPLAZA_ONLY</t>
        </is>
      </c>
      <c r="D130" t="inlineStr">
        <is>
          <t>Account exists in EPLAZA only</t>
        </is>
      </c>
    </row>
    <row r="131">
      <c r="A131" s="12" t="inlineStr">
        <is>
          <t>220514</t>
        </is>
      </c>
      <c r="B131" s="12" t="inlineStr">
        <is>
          <t>Cta. Cte. Impulsa Desarrollos Inmob. SPA</t>
        </is>
      </c>
      <c r="C131" s="12" t="inlineStr">
        <is>
          <t>DESC_CONFLICT</t>
        </is>
      </c>
      <c r="D131" s="12" t="inlineStr">
        <is>
          <t>EP='Cta. Cte. Impulsa Desarrollos Inmob. SPA' vs IM='Cta. Cte. Inversiones San Luis Ltda.'</t>
        </is>
      </c>
    </row>
    <row r="132">
      <c r="A132" s="12" t="inlineStr">
        <is>
          <t>220516</t>
        </is>
      </c>
      <c r="B132" s="12" t="inlineStr">
        <is>
          <t>Cta. Cte. Grupo Impulsa SPA</t>
        </is>
      </c>
      <c r="C132" s="12" t="inlineStr">
        <is>
          <t>DESC_CONFLICT</t>
        </is>
      </c>
      <c r="D132" s="12" t="inlineStr">
        <is>
          <t>EP='Cta. Cte. Grupo Impulsa SPA' vs IM='Cta. Cte. FYTZ Desarrollos SPA'</t>
        </is>
      </c>
    </row>
    <row r="133">
      <c r="A133" s="12" t="inlineStr">
        <is>
          <t>220517</t>
        </is>
      </c>
      <c r="B133" s="12" t="inlineStr">
        <is>
          <t>Cta. Cte. FIP Desarrollo Inmob Eliecer Parada</t>
        </is>
      </c>
      <c r="C133" s="12" t="inlineStr">
        <is>
          <t>DESC_CONFLICT</t>
        </is>
      </c>
      <c r="D133" s="12" t="inlineStr">
        <is>
          <t>EP='Cta. Cte. FIP Desarrollo Inmob Eliecer Parada' vs IM='Cta. Cte. Inmobiliaria Las Pataguas Ltda.'</t>
        </is>
      </c>
    </row>
    <row r="134">
      <c r="A134" t="inlineStr">
        <is>
          <t>221411</t>
        </is>
      </c>
      <c r="B134" t="inlineStr">
        <is>
          <t>Ingresos Anticipados x Promesas</t>
        </is>
      </c>
      <c r="C134" t="inlineStr">
        <is>
          <t>EPLAZA_ONLY</t>
        </is>
      </c>
      <c r="D134" t="inlineStr">
        <is>
          <t>Account exists in EPLAZA only</t>
        </is>
      </c>
    </row>
    <row r="135">
      <c r="A135" t="inlineStr">
        <is>
          <t>230688</t>
        </is>
      </c>
      <c r="B135" t="inlineStr">
        <is>
          <t>Utilidades Devengadas Extranjero</t>
        </is>
      </c>
      <c r="C135" t="inlineStr">
        <is>
          <t>EPLAZA_ONLY</t>
        </is>
      </c>
      <c r="D135" t="inlineStr">
        <is>
          <t>Account exists in EPLAZA only</t>
        </is>
      </c>
    </row>
    <row r="136">
      <c r="A136" s="12" t="inlineStr">
        <is>
          <t>310112</t>
        </is>
      </c>
      <c r="B136" s="12" t="inlineStr">
        <is>
          <t>Ventas de Oficinas</t>
        </is>
      </c>
      <c r="C136" s="12" t="inlineStr">
        <is>
          <t>DESC_CONFLICT</t>
        </is>
      </c>
      <c r="D136" s="12" t="inlineStr">
        <is>
          <t>EP='Ventas de Oficinas' vs IM='Arriendos Percibidos'</t>
        </is>
      </c>
    </row>
    <row r="137">
      <c r="A137" t="inlineStr">
        <is>
          <t>310115</t>
        </is>
      </c>
      <c r="B137" t="inlineStr">
        <is>
          <t>Ventas de Estacionamientos</t>
        </is>
      </c>
      <c r="C137" t="inlineStr">
        <is>
          <t>EPLAZA_ONLY</t>
        </is>
      </c>
      <c r="D137" t="inlineStr">
        <is>
          <t>Account exists in EPLAZA only</t>
        </is>
      </c>
    </row>
    <row r="138">
      <c r="A138" t="inlineStr">
        <is>
          <t>310116</t>
        </is>
      </c>
      <c r="B138" t="inlineStr">
        <is>
          <t>Ventas de Locales Comerciales</t>
        </is>
      </c>
      <c r="C138" t="inlineStr">
        <is>
          <t>EPLAZA_ONLY</t>
        </is>
      </c>
      <c r="D138" t="inlineStr">
        <is>
          <t>Account exists in EPLAZA only</t>
        </is>
      </c>
    </row>
    <row r="139">
      <c r="A139" t="inlineStr">
        <is>
          <t>310117</t>
        </is>
      </c>
      <c r="B139" t="inlineStr">
        <is>
          <t>Ventas de Mix Otros Inmuebles</t>
        </is>
      </c>
      <c r="C139" t="inlineStr">
        <is>
          <t>EPLAZA_ONLY</t>
        </is>
      </c>
      <c r="D139" t="inlineStr">
        <is>
          <t>Account exists in EPLAZA only</t>
        </is>
      </c>
    </row>
    <row r="140">
      <c r="A140" t="inlineStr">
        <is>
          <t>310119</t>
        </is>
      </c>
      <c r="B140" t="inlineStr">
        <is>
          <t>Arriendo Oficinas</t>
        </is>
      </c>
      <c r="C140" t="inlineStr">
        <is>
          <t>EPLAZA_ONLY</t>
        </is>
      </c>
      <c r="D140" t="inlineStr">
        <is>
          <t>Account exists in EPLAZA only</t>
        </is>
      </c>
    </row>
    <row r="141">
      <c r="A141" t="inlineStr">
        <is>
          <t>310121</t>
        </is>
      </c>
      <c r="B141" t="inlineStr">
        <is>
          <t>Arriendo Bodegas</t>
        </is>
      </c>
      <c r="C141" t="inlineStr">
        <is>
          <t>EPLAZA_ONLY</t>
        </is>
      </c>
      <c r="D141" t="inlineStr">
        <is>
          <t>Account exists in EPLAZA only</t>
        </is>
      </c>
    </row>
    <row r="142">
      <c r="A142" t="inlineStr">
        <is>
          <t>310122</t>
        </is>
      </c>
      <c r="B142" t="inlineStr">
        <is>
          <t>Arriendo Estacionamientos</t>
        </is>
      </c>
      <c r="C142" t="inlineStr">
        <is>
          <t>EPLAZA_ONLY</t>
        </is>
      </c>
      <c r="D142" t="inlineStr">
        <is>
          <t>Account exists in EPLAZA only</t>
        </is>
      </c>
    </row>
    <row r="143">
      <c r="A143" t="inlineStr">
        <is>
          <t>310123</t>
        </is>
      </c>
      <c r="B143" t="inlineStr">
        <is>
          <t>Arriendo Locales Comerciales</t>
        </is>
      </c>
      <c r="C143" t="inlineStr">
        <is>
          <t>EPLAZA_ONLY</t>
        </is>
      </c>
      <c r="D143" t="inlineStr">
        <is>
          <t>Account exists in EPLAZA only</t>
        </is>
      </c>
    </row>
    <row r="144">
      <c r="A144" t="inlineStr">
        <is>
          <t>320112</t>
        </is>
      </c>
      <c r="B144" t="inlineStr">
        <is>
          <t>Int. Ganado x Inv. en Fdo Mutuos</t>
        </is>
      </c>
      <c r="C144" t="inlineStr">
        <is>
          <t>EPLAZA_ONLY</t>
        </is>
      </c>
      <c r="D144" t="inlineStr">
        <is>
          <t>Account exists in EPLAZA only</t>
        </is>
      </c>
    </row>
    <row r="145">
      <c r="A145" t="inlineStr">
        <is>
          <t>320113</t>
        </is>
      </c>
      <c r="B145" t="inlineStr">
        <is>
          <t>Int. Ganado Inv. en Depto a Plazo</t>
        </is>
      </c>
      <c r="C145" t="inlineStr">
        <is>
          <t>EPLAZA_ONLY</t>
        </is>
      </c>
      <c r="D145" t="inlineStr">
        <is>
          <t>Account exists in EPLAZA only</t>
        </is>
      </c>
    </row>
    <row r="146">
      <c r="A146" t="inlineStr">
        <is>
          <t>320114</t>
        </is>
      </c>
      <c r="B146" t="inlineStr">
        <is>
          <t>Reajuste Credito Fiscal</t>
        </is>
      </c>
      <c r="C146" t="inlineStr">
        <is>
          <t>EPLAZA_ONLY</t>
        </is>
      </c>
      <c r="D146" t="inlineStr">
        <is>
          <t>Account exists in EPLAZA only</t>
        </is>
      </c>
    </row>
    <row r="147">
      <c r="A147" t="inlineStr">
        <is>
          <t>320434</t>
        </is>
      </c>
      <c r="B147" t="inlineStr">
        <is>
          <t>Otros Ingresos</t>
        </is>
      </c>
      <c r="C147" t="inlineStr">
        <is>
          <t>EPLAZA_ONLY</t>
        </is>
      </c>
      <c r="D147" t="inlineStr">
        <is>
          <t>Account exists in EPLAZA only</t>
        </is>
      </c>
    </row>
    <row r="148">
      <c r="A148" t="inlineStr">
        <is>
          <t>410111</t>
        </is>
      </c>
      <c r="B148" t="inlineStr">
        <is>
          <t>Costos Venta de Inmuebles</t>
        </is>
      </c>
      <c r="C148" t="inlineStr">
        <is>
          <t>EPLAZA_ONLY</t>
        </is>
      </c>
      <c r="D148" t="inlineStr">
        <is>
          <t>Account exists in EPLAZA only</t>
        </is>
      </c>
    </row>
    <row r="149">
      <c r="A149" t="inlineStr">
        <is>
          <t>410113</t>
        </is>
      </c>
      <c r="B149" t="inlineStr">
        <is>
          <t>Costo Corretaje</t>
        </is>
      </c>
      <c r="C149" t="inlineStr">
        <is>
          <t>EPLAZA_ONLY</t>
        </is>
      </c>
      <c r="D149" t="inlineStr">
        <is>
          <t>Account exists in EPLAZA only</t>
        </is>
      </c>
    </row>
    <row r="150">
      <c r="A150" t="inlineStr">
        <is>
          <t>410312</t>
        </is>
      </c>
      <c r="B150" t="inlineStr">
        <is>
          <t>Avisaje en Prensa</t>
        </is>
      </c>
      <c r="C150" t="inlineStr">
        <is>
          <t>EPLAZA_ONLY</t>
        </is>
      </c>
      <c r="D150" t="inlineStr">
        <is>
          <t>Account exists in EPLAZA only</t>
        </is>
      </c>
    </row>
    <row r="151">
      <c r="A151" t="inlineStr">
        <is>
          <t>410316</t>
        </is>
      </c>
      <c r="B151" t="inlineStr">
        <is>
          <t>Publicidad en Medios</t>
        </is>
      </c>
      <c r="C151" t="inlineStr">
        <is>
          <t>EPLAZA_ONLY</t>
        </is>
      </c>
      <c r="D151" t="inlineStr">
        <is>
          <t>Account exists in EPLAZA only</t>
        </is>
      </c>
    </row>
    <row r="152">
      <c r="A152" t="inlineStr">
        <is>
          <t>410429</t>
        </is>
      </c>
      <c r="B152" t="inlineStr">
        <is>
          <t>Gastos Comunes</t>
        </is>
      </c>
      <c r="C152" t="inlineStr">
        <is>
          <t>EPLAZA_ONLY</t>
        </is>
      </c>
      <c r="D152" t="inlineStr">
        <is>
          <t>Account exists in EPLAZA only</t>
        </is>
      </c>
    </row>
    <row r="153">
      <c r="A153" t="inlineStr">
        <is>
          <t>410431</t>
        </is>
      </c>
      <c r="B153" t="inlineStr">
        <is>
          <t>Consumo Electrico</t>
        </is>
      </c>
      <c r="C153" t="inlineStr">
        <is>
          <t>EPLAZA_ONLY</t>
        </is>
      </c>
      <c r="D153" t="inlineStr">
        <is>
          <t>Account exists in EPLAZA only</t>
        </is>
      </c>
    </row>
    <row r="154">
      <c r="A154" s="12" t="inlineStr">
        <is>
          <t>410432</t>
        </is>
      </c>
      <c r="B154" s="12" t="inlineStr">
        <is>
          <t>Consumo de Agua</t>
        </is>
      </c>
      <c r="C154" s="12" t="inlineStr">
        <is>
          <t>DESC_CONFLICT</t>
        </is>
      </c>
      <c r="D154" s="12" t="inlineStr">
        <is>
          <t>EP='Consumo de Agua' vs IM='Asesoria Legal'</t>
        </is>
      </c>
    </row>
    <row r="155">
      <c r="A155" t="inlineStr">
        <is>
          <t>410434</t>
        </is>
      </c>
      <c r="B155" t="inlineStr">
        <is>
          <t>Servicio Telefonico</t>
        </is>
      </c>
      <c r="C155" t="inlineStr">
        <is>
          <t>EPLAZA_ONLY</t>
        </is>
      </c>
      <c r="D155" t="inlineStr">
        <is>
          <t>Account exists in EPLAZA only</t>
        </is>
      </c>
    </row>
    <row r="156">
      <c r="A156" t="inlineStr">
        <is>
          <t>410439</t>
        </is>
      </c>
      <c r="B156" t="inlineStr">
        <is>
          <t>Transporte y Movilizacion</t>
        </is>
      </c>
      <c r="C156" t="inlineStr">
        <is>
          <t>EPLAZA_ONLY</t>
        </is>
      </c>
      <c r="D156" t="inlineStr">
        <is>
          <t>Account exists in EPLAZA only</t>
        </is>
      </c>
    </row>
    <row r="157">
      <c r="A157" t="inlineStr">
        <is>
          <t>410440</t>
        </is>
      </c>
      <c r="B157" t="inlineStr">
        <is>
          <t>Correspondencia</t>
        </is>
      </c>
      <c r="C157" t="inlineStr">
        <is>
          <t>EPLAZA_ONLY</t>
        </is>
      </c>
      <c r="D157" t="inlineStr">
        <is>
          <t>Account exists in EPLAZA only</t>
        </is>
      </c>
    </row>
    <row r="158">
      <c r="A158" t="inlineStr">
        <is>
          <t>410442</t>
        </is>
      </c>
      <c r="B158" t="inlineStr">
        <is>
          <t>Servicio de Aseo</t>
        </is>
      </c>
      <c r="C158" t="inlineStr">
        <is>
          <t>EPLAZA_ONLY</t>
        </is>
      </c>
      <c r="D158" t="inlineStr">
        <is>
          <t>Account exists in EPLAZA only</t>
        </is>
      </c>
    </row>
    <row r="159">
      <c r="A159" t="inlineStr">
        <is>
          <t>410445</t>
        </is>
      </c>
      <c r="B159" t="inlineStr">
        <is>
          <t>Utiles de Oficina</t>
        </is>
      </c>
      <c r="C159" t="inlineStr">
        <is>
          <t>EPLAZA_ONLY</t>
        </is>
      </c>
      <c r="D159" t="inlineStr">
        <is>
          <t>Account exists in EPLAZA only</t>
        </is>
      </c>
    </row>
    <row r="160">
      <c r="A160" t="inlineStr">
        <is>
          <t>410446</t>
        </is>
      </c>
      <c r="B160" t="inlineStr">
        <is>
          <t>Mantenciones y Reparaciones</t>
        </is>
      </c>
      <c r="C160" t="inlineStr">
        <is>
          <t>EPLAZA_ONLY</t>
        </is>
      </c>
      <c r="D160" t="inlineStr">
        <is>
          <t>Account exists in EPLAZA only</t>
        </is>
      </c>
    </row>
    <row r="161">
      <c r="A161" t="inlineStr">
        <is>
          <t>410450</t>
        </is>
      </c>
      <c r="B161" t="inlineStr">
        <is>
          <t>Asesoria Informatica</t>
        </is>
      </c>
      <c r="C161" t="inlineStr">
        <is>
          <t>EPLAZA_ONLY</t>
        </is>
      </c>
      <c r="D161" t="inlineStr">
        <is>
          <t>Account exists in EPLAZA only</t>
        </is>
      </c>
    </row>
    <row r="162">
      <c r="A162" t="inlineStr">
        <is>
          <t>410453</t>
        </is>
      </c>
      <c r="B162" t="inlineStr">
        <is>
          <t>Asesorias Tecnicas</t>
        </is>
      </c>
      <c r="C162" t="inlineStr">
        <is>
          <t>EPLAZA_ONLY</t>
        </is>
      </c>
      <c r="D162" t="inlineStr">
        <is>
          <t>Account exists in EPLAZA only</t>
        </is>
      </c>
    </row>
    <row r="163">
      <c r="A163" t="inlineStr">
        <is>
          <t>410454</t>
        </is>
      </c>
      <c r="B163" t="inlineStr">
        <is>
          <t>Asesorias Administrativas</t>
        </is>
      </c>
      <c r="C163" t="inlineStr">
        <is>
          <t>EPLAZA_ONLY</t>
        </is>
      </c>
      <c r="D163" t="inlineStr">
        <is>
          <t>Account exists in EPLAZA only</t>
        </is>
      </c>
    </row>
    <row r="164">
      <c r="A164" t="inlineStr">
        <is>
          <t>410458</t>
        </is>
      </c>
      <c r="B164" t="inlineStr">
        <is>
          <t>Suministros Computacionales</t>
        </is>
      </c>
      <c r="C164" t="inlineStr">
        <is>
          <t>EPLAZA_ONLY</t>
        </is>
      </c>
      <c r="D164" t="inlineStr">
        <is>
          <t>Account exists in EPLAZA only</t>
        </is>
      </c>
    </row>
    <row r="165">
      <c r="A165" t="inlineStr">
        <is>
          <t>410459</t>
        </is>
      </c>
      <c r="B165" t="inlineStr">
        <is>
          <t>Primas x Polizas de Seguro</t>
        </is>
      </c>
      <c r="C165" t="inlineStr">
        <is>
          <t>EPLAZA_ONLY</t>
        </is>
      </c>
      <c r="D165" t="inlineStr">
        <is>
          <t>Account exists in EPLAZA only</t>
        </is>
      </c>
    </row>
    <row r="166">
      <c r="A166" t="inlineStr">
        <is>
          <t>410463</t>
        </is>
      </c>
      <c r="B166" t="inlineStr">
        <is>
          <t>Depreciacion Activo Fijo</t>
        </is>
      </c>
      <c r="C166" t="inlineStr">
        <is>
          <t>EPLAZA_ONLY</t>
        </is>
      </c>
      <c r="D166" t="inlineStr">
        <is>
          <t>Account exists in EPLAZA only</t>
        </is>
      </c>
    </row>
    <row r="167">
      <c r="A167" t="inlineStr">
        <is>
          <t>410466</t>
        </is>
      </c>
      <c r="B167" t="inlineStr">
        <is>
          <t>Contribuciones Bs Rs</t>
        </is>
      </c>
      <c r="C167" t="inlineStr">
        <is>
          <t>EPLAZA_ONLY</t>
        </is>
      </c>
      <c r="D167" t="inlineStr">
        <is>
          <t>Account exists in EPLAZA only</t>
        </is>
      </c>
    </row>
    <row r="168">
      <c r="A168" t="inlineStr">
        <is>
          <t>450111</t>
        </is>
      </c>
      <c r="B168" t="inlineStr">
        <is>
          <t>Int. Pagado x Ptmos MN NR</t>
        </is>
      </c>
      <c r="C168" t="inlineStr">
        <is>
          <t>EPLAZA_ONLY</t>
        </is>
      </c>
      <c r="D168" t="inlineStr">
        <is>
          <t>Account exists in EPLAZA only</t>
        </is>
      </c>
    </row>
    <row r="169">
      <c r="A169" s="12" t="inlineStr">
        <is>
          <t>450117</t>
        </is>
      </c>
      <c r="B169" s="12" t="inlineStr">
        <is>
          <t>Interes L/Credito Bco Security</t>
        </is>
      </c>
      <c r="C169" s="12" t="inlineStr">
        <is>
          <t>DESC_CONFLICT</t>
        </is>
      </c>
      <c r="D169" s="12" t="inlineStr">
        <is>
          <t>EP='Interes L/Credito Bco Security' vs IM='Intereses L/Credito Bco. Chile'</t>
        </is>
      </c>
    </row>
    <row r="170">
      <c r="A170" t="inlineStr">
        <is>
          <t>1108113</t>
        </is>
      </c>
      <c r="B170" t="inlineStr">
        <is>
          <t>Credito x Pago Prov. Util. Abs. (PPUA)</t>
        </is>
      </c>
      <c r="C170" t="inlineStr">
        <is>
          <t>IMPULSA_ONLY</t>
        </is>
      </c>
      <c r="D170" t="inlineStr">
        <is>
          <t>Account exists in IMPULSA only</t>
        </is>
      </c>
    </row>
    <row r="171">
      <c r="A171" t="inlineStr">
        <is>
          <t>120412</t>
        </is>
      </c>
      <c r="B171" t="inlineStr">
        <is>
          <t>Cta. Cte. Inmob. San Juan De La Luz S.A.</t>
        </is>
      </c>
      <c r="C171" t="inlineStr">
        <is>
          <t>IMPULSA_ONLY</t>
        </is>
      </c>
      <c r="D171" t="inlineStr">
        <is>
          <t>Account exists in IMPULSA only</t>
        </is>
      </c>
    </row>
    <row r="172">
      <c r="A172" t="inlineStr">
        <is>
          <t>120413</t>
        </is>
      </c>
      <c r="B172" t="inlineStr">
        <is>
          <t>Cta. Cte. Inmobiliaria EPlaza S.A.</t>
        </is>
      </c>
      <c r="C172" t="inlineStr">
        <is>
          <t>IMPULSA_ONLY</t>
        </is>
      </c>
      <c r="D172" t="inlineStr">
        <is>
          <t>Account exists in IMPULSA only</t>
        </is>
      </c>
    </row>
    <row r="173">
      <c r="A173" t="inlineStr">
        <is>
          <t>120414</t>
        </is>
      </c>
      <c r="B173" t="inlineStr">
        <is>
          <t>Cta. Cte. Inmob. Manquehue Norte 321 SPA</t>
        </is>
      </c>
      <c r="C173" t="inlineStr">
        <is>
          <t>IMPULSA_ONLY</t>
        </is>
      </c>
      <c r="D173" t="inlineStr">
        <is>
          <t>Account exists in IMPULSA only</t>
        </is>
      </c>
    </row>
    <row r="174">
      <c r="A174" t="inlineStr">
        <is>
          <t>120416</t>
        </is>
      </c>
      <c r="B174" t="inlineStr">
        <is>
          <t>Cta. Cte. Grupo Impulsa SPA</t>
        </is>
      </c>
      <c r="C174" t="inlineStr">
        <is>
          <t>IMPULSA_ONLY</t>
        </is>
      </c>
      <c r="D174" t="inlineStr">
        <is>
          <t>Account exists in IMPULSA only</t>
        </is>
      </c>
    </row>
    <row r="175">
      <c r="A175" t="inlineStr">
        <is>
          <t>120515</t>
        </is>
      </c>
      <c r="B175" t="inlineStr">
        <is>
          <t>Inversion en Inmob. y Const. Los Laureles SPA</t>
        </is>
      </c>
      <c r="C175" t="inlineStr">
        <is>
          <t>IMPULSA_ONLY</t>
        </is>
      </c>
      <c r="D175" t="inlineStr">
        <is>
          <t>Account exists in IMPULSA only</t>
        </is>
      </c>
    </row>
    <row r="176">
      <c r="A176" t="inlineStr">
        <is>
          <t>120516</t>
        </is>
      </c>
      <c r="B176" t="inlineStr">
        <is>
          <t>Inversion en Grupo Impulsa SPA</t>
        </is>
      </c>
      <c r="C176" t="inlineStr">
        <is>
          <t>IMPULSA_ONLY</t>
        </is>
      </c>
      <c r="D176" t="inlineStr">
        <is>
          <t>Account exists in IMPULSA only</t>
        </is>
      </c>
    </row>
    <row r="177">
      <c r="A177" t="inlineStr">
        <is>
          <t>120811</t>
        </is>
      </c>
      <c r="B177" t="inlineStr">
        <is>
          <t>Inmuebles</t>
        </is>
      </c>
      <c r="C177" t="inlineStr">
        <is>
          <t>IMPULSA_ONLY</t>
        </is>
      </c>
      <c r="D177" t="inlineStr">
        <is>
          <t>Account exists in IMPULSA only</t>
        </is>
      </c>
    </row>
    <row r="178">
      <c r="A178" t="inlineStr">
        <is>
          <t>120891</t>
        </is>
      </c>
      <c r="B178" t="inlineStr">
        <is>
          <t>Dep Acumulada Inmuebles</t>
        </is>
      </c>
      <c r="C178" t="inlineStr">
        <is>
          <t>IMPULSA_ONLY</t>
        </is>
      </c>
      <c r="D178" t="inlineStr">
        <is>
          <t>Account exists in IMPULSA only</t>
        </is>
      </c>
    </row>
    <row r="179">
      <c r="A179" t="inlineStr">
        <is>
          <t>210131</t>
        </is>
      </c>
      <c r="B179" t="inlineStr">
        <is>
          <t>Ptmos en MN R UF Porcion C/Pzo</t>
        </is>
      </c>
      <c r="C179" t="inlineStr">
        <is>
          <t>IMPULSA_ONLY</t>
        </is>
      </c>
      <c r="D179" t="inlineStr">
        <is>
          <t>Account exists in IMPULSA only</t>
        </is>
      </c>
    </row>
    <row r="180">
      <c r="A180" t="inlineStr">
        <is>
          <t>210515</t>
        </is>
      </c>
      <c r="B180" t="inlineStr">
        <is>
          <t>Cta. Cte. Ing. e Inv. Fernandez Ltda.</t>
        </is>
      </c>
      <c r="C180" t="inlineStr">
        <is>
          <t>IMPULSA_ONLY</t>
        </is>
      </c>
      <c r="D180" t="inlineStr">
        <is>
          <t>Account exists in IMPULSA only</t>
        </is>
      </c>
    </row>
    <row r="181">
      <c r="A181" t="inlineStr">
        <is>
          <t>210516</t>
        </is>
      </c>
      <c r="B181" t="inlineStr">
        <is>
          <t>Cta. Cte. Soc de Inv. e Inmob. San Luis Ltda.</t>
        </is>
      </c>
      <c r="C181" t="inlineStr">
        <is>
          <t>IMPULSA_ONLY</t>
        </is>
      </c>
      <c r="D181" t="inlineStr">
        <is>
          <t>Account exists in IMPULSA only</t>
        </is>
      </c>
    </row>
    <row r="182">
      <c r="A182" t="inlineStr">
        <is>
          <t>210517</t>
        </is>
      </c>
      <c r="B182" t="inlineStr">
        <is>
          <t>Cta. Cte. Sandra Fernandez Sanhueza</t>
        </is>
      </c>
      <c r="C182" t="inlineStr">
        <is>
          <t>IMPULSA_ONLY</t>
        </is>
      </c>
      <c r="D182" t="inlineStr">
        <is>
          <t>Account exists in IMPULSA only</t>
        </is>
      </c>
    </row>
    <row r="183">
      <c r="A183" t="inlineStr">
        <is>
          <t>210518</t>
        </is>
      </c>
      <c r="B183" t="inlineStr">
        <is>
          <t>Cta. Cte. Impulsa Desarrollos Inmob. SPA</t>
        </is>
      </c>
      <c r="C183" t="inlineStr">
        <is>
          <t>IMPULSA_ONLY</t>
        </is>
      </c>
      <c r="D183" t="inlineStr">
        <is>
          <t>Account exists in IMPULSA only</t>
        </is>
      </c>
    </row>
    <row r="184">
      <c r="A184" t="inlineStr">
        <is>
          <t>220411</t>
        </is>
      </c>
      <c r="B184" t="inlineStr">
        <is>
          <t>Cuentas por Pagar L/Pzo</t>
        </is>
      </c>
      <c r="C184" t="inlineStr">
        <is>
          <t>IMPULSA_ONLY</t>
        </is>
      </c>
      <c r="D184" t="inlineStr">
        <is>
          <t>Account exists in IMPULSA only</t>
        </is>
      </c>
    </row>
    <row r="185">
      <c r="A185" t="inlineStr">
        <is>
          <t>230617</t>
        </is>
      </c>
      <c r="B185" t="inlineStr">
        <is>
          <t>Dividendos desde Domingo Bondi S.A.</t>
        </is>
      </c>
      <c r="C185" t="inlineStr">
        <is>
          <t>IMPULSA_ONLY</t>
        </is>
      </c>
      <c r="D185" t="inlineStr">
        <is>
          <t>Account exists in IMPULSA only</t>
        </is>
      </c>
    </row>
    <row r="186">
      <c r="A186" t="inlineStr">
        <is>
          <t>230618</t>
        </is>
      </c>
      <c r="B186" t="inlineStr">
        <is>
          <t>Dividendos desde Republica de Cuba S.A.</t>
        </is>
      </c>
      <c r="C186" t="inlineStr">
        <is>
          <t>IMPULSA_ONLY</t>
        </is>
      </c>
      <c r="D186" t="inlineStr">
        <is>
          <t>Account exists in IMPULSA only</t>
        </is>
      </c>
    </row>
    <row r="187">
      <c r="A187" t="inlineStr">
        <is>
          <t>3201101</t>
        </is>
      </c>
      <c r="B187" t="inlineStr">
        <is>
          <t>Intereses ganados</t>
        </is>
      </c>
      <c r="C187" t="inlineStr">
        <is>
          <t>IMPULSA_ONLY</t>
        </is>
      </c>
      <c r="D187" t="inlineStr">
        <is>
          <t>Account exists in IMPULSA only</t>
        </is>
      </c>
    </row>
    <row r="188">
      <c r="A188" t="inlineStr">
        <is>
          <t>3204121</t>
        </is>
      </c>
      <c r="B188" t="inlineStr">
        <is>
          <t>Otros ingresos</t>
        </is>
      </c>
      <c r="C188" t="inlineStr">
        <is>
          <t>IMPULSA_ONLY</t>
        </is>
      </c>
      <c r="D188" t="inlineStr">
        <is>
          <t>Account exists in IMPULSA only</t>
        </is>
      </c>
    </row>
    <row r="189">
      <c r="A189" t="inlineStr">
        <is>
          <t>320111</t>
        </is>
      </c>
      <c r="B189" t="inlineStr">
        <is>
          <t>Int. Ganado x Inv. en Fdo Mutuos</t>
        </is>
      </c>
      <c r="C189" t="inlineStr">
        <is>
          <t>IMPULSA_ONLY</t>
        </is>
      </c>
      <c r="D189" t="inlineStr">
        <is>
          <t>Account exists in IMPULSA only</t>
        </is>
      </c>
    </row>
    <row r="190">
      <c r="A190" t="inlineStr">
        <is>
          <t>320413</t>
        </is>
      </c>
      <c r="B190" t="inlineStr">
        <is>
          <t>Dividendos Percibidos</t>
        </is>
      </c>
      <c r="C190" t="inlineStr">
        <is>
          <t>IMPULSA_ONLY</t>
        </is>
      </c>
      <c r="D190" t="inlineStr">
        <is>
          <t>Account exists in IMPULSA only</t>
        </is>
      </c>
    </row>
    <row r="191">
      <c r="A191" t="inlineStr">
        <is>
          <t>320414</t>
        </is>
      </c>
      <c r="B191" t="inlineStr">
        <is>
          <t>Dividendos Domingo Bondi S.A.</t>
        </is>
      </c>
      <c r="C191" t="inlineStr">
        <is>
          <t>IMPULSA_ONLY</t>
        </is>
      </c>
      <c r="D191" t="inlineStr">
        <is>
          <t>Account exists in IMPULSA only</t>
        </is>
      </c>
    </row>
    <row r="192">
      <c r="A192" t="inlineStr">
        <is>
          <t>320415</t>
        </is>
      </c>
      <c r="B192" t="inlineStr">
        <is>
          <t>Dividendos Republica de Cuba S.A.</t>
        </is>
      </c>
      <c r="C192" t="inlineStr">
        <is>
          <t>IMPULSA_ONLY</t>
        </is>
      </c>
      <c r="D192" t="inlineStr">
        <is>
          <t>Account exists in IMPULSA only</t>
        </is>
      </c>
    </row>
    <row r="193">
      <c r="A193" t="inlineStr">
        <is>
          <t>320421</t>
        </is>
      </c>
      <c r="B193" t="inlineStr">
        <is>
          <t>Utilidad x Vta Acciones SGI Corredores</t>
        </is>
      </c>
      <c r="C193" t="inlineStr">
        <is>
          <t>IMPULSA_ONLY</t>
        </is>
      </c>
      <c r="D193" t="inlineStr">
        <is>
          <t>Account exists in IMPULSA only</t>
        </is>
      </c>
    </row>
    <row r="194">
      <c r="A194" t="inlineStr">
        <is>
          <t>410421</t>
        </is>
      </c>
      <c r="B194" t="inlineStr">
        <is>
          <t>Gastos de Representación</t>
        </is>
      </c>
      <c r="C194" t="inlineStr">
        <is>
          <t>IMPULSA_ONLY</t>
        </is>
      </c>
      <c r="D194" t="inlineStr">
        <is>
          <t>Account exists in IMPULSA only</t>
        </is>
      </c>
    </row>
    <row r="195">
      <c r="A195" t="inlineStr">
        <is>
          <t>410423</t>
        </is>
      </c>
      <c r="B195" t="inlineStr">
        <is>
          <t>Gastos Comunes</t>
        </is>
      </c>
      <c r="C195" t="inlineStr">
        <is>
          <t>IMPULSA_ONLY</t>
        </is>
      </c>
      <c r="D195" t="inlineStr">
        <is>
          <t>Account exists in IMPULSA only</t>
        </is>
      </c>
    </row>
    <row r="196">
      <c r="A196" t="inlineStr">
        <is>
          <t>410425</t>
        </is>
      </c>
      <c r="B196" t="inlineStr">
        <is>
          <t>Electricidad</t>
        </is>
      </c>
      <c r="C196" t="inlineStr">
        <is>
          <t>IMPULSA_ONLY</t>
        </is>
      </c>
      <c r="D196" t="inlineStr">
        <is>
          <t>Account exists in IMPULSA only</t>
        </is>
      </c>
    </row>
    <row r="197">
      <c r="A197" t="inlineStr">
        <is>
          <t>410430</t>
        </is>
      </c>
      <c r="B197" t="inlineStr">
        <is>
          <t>Viajes</t>
        </is>
      </c>
      <c r="C197" t="inlineStr">
        <is>
          <t>IMPULSA_ONLY</t>
        </is>
      </c>
      <c r="D197" t="inlineStr">
        <is>
          <t>Account exists in IMPULSA only</t>
        </is>
      </c>
    </row>
    <row r="198">
      <c r="A198" t="inlineStr">
        <is>
          <t>410433</t>
        </is>
      </c>
      <c r="B198" t="inlineStr">
        <is>
          <t>Asesorias tecnicas</t>
        </is>
      </c>
      <c r="C198" t="inlineStr">
        <is>
          <t>IMPULSA_ONLY</t>
        </is>
      </c>
      <c r="D198" t="inlineStr">
        <is>
          <t>Account exists in IMPULSA only</t>
        </is>
      </c>
    </row>
    <row r="199">
      <c r="A199" t="inlineStr">
        <is>
          <t>410435</t>
        </is>
      </c>
      <c r="B199" t="inlineStr">
        <is>
          <t>Auditorias y Contabilidad</t>
        </is>
      </c>
      <c r="C199" t="inlineStr">
        <is>
          <t>IMPULSA_ONLY</t>
        </is>
      </c>
      <c r="D199" t="inlineStr">
        <is>
          <t>Account exists in IMPULSA only</t>
        </is>
      </c>
    </row>
    <row r="200">
      <c r="A200" t="inlineStr">
        <is>
          <t>410437</t>
        </is>
      </c>
      <c r="B200" t="inlineStr">
        <is>
          <t>Suministros Computacionales</t>
        </is>
      </c>
      <c r="C200" t="inlineStr">
        <is>
          <t>IMPULSA_ONLY</t>
        </is>
      </c>
      <c r="D200" t="inlineStr">
        <is>
          <t>Account exists in IMPULSA only</t>
        </is>
      </c>
    </row>
    <row r="201">
      <c r="A201" t="inlineStr">
        <is>
          <t>410438</t>
        </is>
      </c>
      <c r="B201" t="inlineStr">
        <is>
          <t>Asesoria Proyectos Inmobiliarios</t>
        </is>
      </c>
      <c r="C201" t="inlineStr">
        <is>
          <t>IMPULSA_ONLY</t>
        </is>
      </c>
      <c r="D201" t="inlineStr">
        <is>
          <t>Account exists in IMPULSA only</t>
        </is>
      </c>
    </row>
    <row r="202">
      <c r="A202" t="inlineStr">
        <is>
          <t>410456</t>
        </is>
      </c>
      <c r="B202" t="inlineStr">
        <is>
          <t>Asesoria Proyectos Inmobiliarios</t>
        </is>
      </c>
      <c r="C202" t="inlineStr">
        <is>
          <t>IMPULSA_ONLY</t>
        </is>
      </c>
      <c r="D202" t="inlineStr">
        <is>
          <t>Account exists in IMPULSA only</t>
        </is>
      </c>
    </row>
    <row r="203">
      <c r="A203" t="inlineStr">
        <is>
          <t>410461</t>
        </is>
      </c>
      <c r="B203" t="inlineStr">
        <is>
          <t>Comisiones Pagadas</t>
        </is>
      </c>
      <c r="C203" t="inlineStr">
        <is>
          <t>IMPULSA_ONLY</t>
        </is>
      </c>
      <c r="D203" t="inlineStr">
        <is>
          <t>Account exists in IMPULSA only</t>
        </is>
      </c>
    </row>
    <row r="204">
      <c r="A204" t="inlineStr">
        <is>
          <t>410484</t>
        </is>
      </c>
      <c r="B204" t="inlineStr">
        <is>
          <t>Seguros</t>
        </is>
      </c>
      <c r="C204" t="inlineStr">
        <is>
          <t>IMPULSA_ONLY</t>
        </is>
      </c>
      <c r="D204" t="inlineStr">
        <is>
          <t>Account exists in IMPULSA only</t>
        </is>
      </c>
    </row>
    <row r="205">
      <c r="A205" t="inlineStr">
        <is>
          <t>4502102</t>
        </is>
      </c>
      <c r="B205" t="inlineStr">
        <is>
          <t>VPP Inmobiliaria J. Matte</t>
        </is>
      </c>
      <c r="C205" t="inlineStr">
        <is>
          <t>IMPULSA_ONLY</t>
        </is>
      </c>
      <c r="D205" t="inlineStr">
        <is>
          <t>Account exists in IMPULSA only</t>
        </is>
      </c>
    </row>
    <row r="206">
      <c r="A206" t="inlineStr">
        <is>
          <t>4502103</t>
        </is>
      </c>
      <c r="B206" t="inlineStr">
        <is>
          <t>VPP Inmobiliaria El Roble</t>
        </is>
      </c>
      <c r="C206" t="inlineStr">
        <is>
          <t>IMPULSA_ONLY</t>
        </is>
      </c>
      <c r="D206" t="inlineStr">
        <is>
          <t>Account exists in IMPULSA only</t>
        </is>
      </c>
    </row>
    <row r="207">
      <c r="A207" t="inlineStr">
        <is>
          <t>4502104</t>
        </is>
      </c>
      <c r="B207" t="inlineStr">
        <is>
          <t>VPP Inmobiliaria La Espuela</t>
        </is>
      </c>
      <c r="C207" t="inlineStr">
        <is>
          <t>IMPULSA_ONLY</t>
        </is>
      </c>
      <c r="D207" t="inlineStr">
        <is>
          <t>Account exists in IMPULSA only</t>
        </is>
      </c>
    </row>
    <row r="208">
      <c r="A208" t="inlineStr">
        <is>
          <t>470111</t>
        </is>
      </c>
      <c r="B208" t="inlineStr">
        <is>
          <t>Impuesto a la Renta</t>
        </is>
      </c>
      <c r="C208" t="inlineStr">
        <is>
          <t>IMPULSA_ONLY</t>
        </is>
      </c>
      <c r="D208" t="inlineStr">
        <is>
          <t>Account exists in IMPULSA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RAW Reconciliation</t>
        </is>
      </c>
    </row>
    <row r="2">
      <c r="A2" s="11" t="inlineStr">
        <is>
          <t>Source</t>
        </is>
      </c>
      <c r="B2" s="11" t="inlineStr">
        <is>
          <t>Account Rows Parsed</t>
        </is>
      </c>
      <c r="C2" s="11" t="inlineStr">
        <is>
          <t>Non-zero Accounts</t>
        </is>
      </c>
      <c r="D2" s="11" t="inlineStr">
        <is>
          <t>Zero Accounts</t>
        </is>
      </c>
    </row>
    <row r="3">
      <c r="A3" t="inlineStr">
        <is>
          <t>EPLAZA</t>
        </is>
      </c>
      <c r="B3" t="n">
        <v>214</v>
      </c>
      <c r="C3" t="n">
        <v>82</v>
      </c>
      <c r="D3" t="n">
        <v>132</v>
      </c>
    </row>
    <row r="4">
      <c r="A4" t="inlineStr">
        <is>
          <t>IMPULSA</t>
        </is>
      </c>
      <c r="B4" t="n">
        <v>100</v>
      </c>
      <c r="C4" t="n">
        <v>26</v>
      </c>
      <c r="D4" t="n">
        <v>74</v>
      </c>
    </row>
    <row r="5">
      <c r="A5" t="inlineStr">
        <is>
          <t>CONSOLIDATED</t>
        </is>
      </c>
      <c r="B5" t="n">
        <v>253</v>
      </c>
      <c r="C5" t="n">
        <v>100</v>
      </c>
      <c r="D5" t="n">
        <v>153</v>
      </c>
    </row>
    <row r="7">
      <c r="A7" t="inlineStr">
        <is>
          <t>Zero-balance rows hidden in CAM_CONSOL sheet:</t>
        </is>
      </c>
      <c r="B7" t="n">
        <v>153</v>
      </c>
    </row>
    <row r="8">
      <c r="A8" t="inlineStr">
        <is>
          <t>Audit issues found:</t>
        </is>
      </c>
      <c r="B8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2026-10-08T18:50:20Z</dcterms:created>
  <dcterms:modified xsi:type="dcterms:W3CDTF">2026-10-08T18:50:21Z</dcterms:modified>
</cp:coreProperties>
</file>