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zcl\Downloads\"/>
    </mc:Choice>
  </mc:AlternateContent>
  <xr:revisionPtr revIDLastSave="0" documentId="8_{A7068E3D-9866-4F4F-90BE-A135FE10500F}" xr6:coauthVersionLast="47" xr6:coauthVersionMax="47" xr10:uidLastSave="{00000000-0000-0000-0000-000000000000}"/>
  <bookViews>
    <workbookView xWindow="-28920" yWindow="30" windowWidth="29040" windowHeight="15720" activeTab="5" xr2:uid="{00000000-000D-0000-FFFF-FFFF00000000}"/>
  </bookViews>
  <sheets>
    <sheet name="CAM2026.08_CONSOL.ALIGN" sheetId="1" r:id="rId1"/>
    <sheet name="RAW_EPLAZA" sheetId="2" r:id="rId2"/>
    <sheet name="RAW_IMPULSA" sheetId="3" r:id="rId3"/>
    <sheet name="AUDIT.PH1" sheetId="4" r:id="rId4"/>
    <sheet name="CONTROL" sheetId="5" r:id="rId5"/>
    <sheet name="FM" sheetId="6" r:id="rId6"/>
    <sheet name="Criterios" sheetId="8" r:id="rId7"/>
    <sheet name="AUDIT.PH2" sheetId="9" r:id="rId8"/>
  </sheets>
  <definedNames>
    <definedName name="_xlnm._FilterDatabase" localSheetId="3" hidden="1">AUDIT.PH1!$A$1:$F$423</definedName>
    <definedName name="_xlnm._FilterDatabase" localSheetId="0" hidden="1">'CAM2026.08_CONSOL.ALIGN'!$B$3:$M$155</definedName>
    <definedName name="_xlnm._FilterDatabase" localSheetId="1" hidden="1">RAW_EPLAZA!$A$1:$G$268</definedName>
    <definedName name="_xlnm._FilterDatabase" localSheetId="2" hidden="1">RAW_IMPULSA!$A$1:$G$127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6" l="1"/>
  <c r="E57" i="6"/>
  <c r="D55" i="6"/>
  <c r="D54" i="6"/>
  <c r="D53" i="6"/>
  <c r="D52" i="6"/>
  <c r="D51" i="6"/>
  <c r="D50" i="6"/>
  <c r="D49" i="6"/>
  <c r="D48" i="6"/>
  <c r="F44" i="6"/>
  <c r="F59" i="6" s="1"/>
  <c r="E44" i="6"/>
  <c r="E59" i="6" s="1"/>
  <c r="D42" i="6"/>
  <c r="D41" i="6"/>
  <c r="D40" i="6"/>
  <c r="D39" i="6"/>
  <c r="D38" i="6"/>
  <c r="D37" i="6"/>
  <c r="D36" i="6"/>
  <c r="D32" i="6"/>
  <c r="D31" i="6"/>
  <c r="D30" i="6"/>
  <c r="D29" i="6"/>
  <c r="D28" i="6"/>
  <c r="D27" i="6"/>
  <c r="F20" i="6"/>
  <c r="E20" i="6"/>
  <c r="D20" i="6" s="1"/>
  <c r="F15" i="6"/>
  <c r="E15" i="6"/>
  <c r="F11" i="6"/>
  <c r="E11" i="6"/>
  <c r="D11" i="6" s="1"/>
  <c r="D19" i="6"/>
  <c r="D18" i="6"/>
  <c r="D17" i="6"/>
  <c r="D14" i="6"/>
  <c r="D13" i="6"/>
  <c r="D12" i="6"/>
  <c r="D10" i="6"/>
  <c r="D9" i="6"/>
  <c r="D8" i="6"/>
  <c r="C57" i="6"/>
  <c r="C44" i="6"/>
  <c r="C59" i="6" s="1"/>
  <c r="C20" i="6"/>
  <c r="C15" i="6"/>
  <c r="C11" i="6"/>
  <c r="C22" i="6" l="1"/>
  <c r="C63" i="6" s="1"/>
  <c r="F22" i="6"/>
  <c r="C67" i="6"/>
  <c r="C70" i="6" s="1"/>
  <c r="C73" i="6"/>
  <c r="E22" i="6"/>
  <c r="D57" i="6"/>
  <c r="D15" i="6"/>
  <c r="D22" i="6" s="1"/>
  <c r="D44" i="6"/>
  <c r="D59" i="6" s="1"/>
  <c r="F63" i="6"/>
  <c r="F73" i="6" s="1"/>
  <c r="E63" i="6"/>
  <c r="E73" i="6" s="1"/>
  <c r="F67" i="6"/>
  <c r="F70" i="6" s="1"/>
  <c r="E67" i="6"/>
  <c r="E70" i="6" s="1"/>
  <c r="D63" i="6" l="1"/>
  <c r="D73" i="6"/>
  <c r="D67" i="6"/>
  <c r="D70" i="6" s="1"/>
  <c r="K155" i="1" l="1"/>
  <c r="H155" i="1"/>
  <c r="K154" i="1"/>
  <c r="J154" i="1"/>
  <c r="I154" i="1"/>
  <c r="G154" i="1"/>
  <c r="F154" i="1"/>
  <c r="H154" i="1" s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J143" i="1"/>
  <c r="I143" i="1"/>
  <c r="H143" i="1"/>
  <c r="G143" i="1"/>
  <c r="F143" i="1"/>
  <c r="K142" i="1"/>
  <c r="H142" i="1"/>
  <c r="K141" i="1"/>
  <c r="H141" i="1"/>
  <c r="J140" i="1"/>
  <c r="I140" i="1"/>
  <c r="K140" i="1" s="1"/>
  <c r="G140" i="1"/>
  <c r="F140" i="1"/>
  <c r="H140" i="1" s="1"/>
  <c r="K139" i="1"/>
  <c r="H139" i="1"/>
  <c r="K138" i="1"/>
  <c r="H138" i="1"/>
  <c r="K137" i="1"/>
  <c r="H137" i="1"/>
  <c r="K136" i="1"/>
  <c r="H136" i="1"/>
  <c r="K135" i="1"/>
  <c r="H135" i="1"/>
  <c r="J134" i="1"/>
  <c r="I134" i="1"/>
  <c r="K134" i="1" s="1"/>
  <c r="G134" i="1"/>
  <c r="F134" i="1"/>
  <c r="H134" i="1" s="1"/>
  <c r="K133" i="1"/>
  <c r="H133" i="1"/>
  <c r="J132" i="1"/>
  <c r="K132" i="1" s="1"/>
  <c r="I132" i="1"/>
  <c r="G132" i="1"/>
  <c r="H132" i="1" s="1"/>
  <c r="F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J125" i="1"/>
  <c r="I125" i="1"/>
  <c r="K125" i="1" s="1"/>
  <c r="G125" i="1"/>
  <c r="F125" i="1"/>
  <c r="H125" i="1" s="1"/>
  <c r="K124" i="1"/>
  <c r="H124" i="1"/>
  <c r="K123" i="1"/>
  <c r="H123" i="1"/>
  <c r="J122" i="1"/>
  <c r="I122" i="1"/>
  <c r="K122" i="1" s="1"/>
  <c r="H122" i="1"/>
  <c r="G122" i="1"/>
  <c r="F122" i="1"/>
  <c r="K121" i="1"/>
  <c r="H121" i="1"/>
  <c r="K120" i="1"/>
  <c r="J120" i="1"/>
  <c r="I120" i="1"/>
  <c r="G120" i="1"/>
  <c r="F120" i="1"/>
  <c r="H120" i="1" s="1"/>
  <c r="K119" i="1"/>
  <c r="H119" i="1"/>
  <c r="K118" i="1"/>
  <c r="H118" i="1"/>
  <c r="K117" i="1"/>
  <c r="J117" i="1"/>
  <c r="I117" i="1"/>
  <c r="H117" i="1"/>
  <c r="G117" i="1"/>
  <c r="F117" i="1"/>
  <c r="K116" i="1"/>
  <c r="H116" i="1"/>
  <c r="K115" i="1"/>
  <c r="H115" i="1"/>
  <c r="J114" i="1"/>
  <c r="I114" i="1"/>
  <c r="K114" i="1" s="1"/>
  <c r="G114" i="1"/>
  <c r="F114" i="1"/>
  <c r="H114" i="1" s="1"/>
  <c r="K113" i="1"/>
  <c r="H113" i="1"/>
  <c r="K112" i="1"/>
  <c r="H112" i="1"/>
  <c r="J111" i="1"/>
  <c r="I111" i="1"/>
  <c r="K111" i="1" s="1"/>
  <c r="G111" i="1"/>
  <c r="F111" i="1"/>
  <c r="H111" i="1" s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J101" i="1"/>
  <c r="I101" i="1"/>
  <c r="K101" i="1" s="1"/>
  <c r="G101" i="1"/>
  <c r="H101" i="1" s="1"/>
  <c r="F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J93" i="1"/>
  <c r="I93" i="1"/>
  <c r="H93" i="1"/>
  <c r="G93" i="1"/>
  <c r="F93" i="1"/>
  <c r="K92" i="1"/>
  <c r="H92" i="1"/>
  <c r="K91" i="1"/>
  <c r="H91" i="1"/>
  <c r="J90" i="1"/>
  <c r="I90" i="1"/>
  <c r="K90" i="1" s="1"/>
  <c r="G90" i="1"/>
  <c r="F90" i="1"/>
  <c r="H90" i="1" s="1"/>
  <c r="K89" i="1"/>
  <c r="H89" i="1"/>
  <c r="J88" i="1"/>
  <c r="K88" i="1" s="1"/>
  <c r="I88" i="1"/>
  <c r="G88" i="1"/>
  <c r="H88" i="1" s="1"/>
  <c r="F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J79" i="1"/>
  <c r="I79" i="1"/>
  <c r="K79" i="1" s="1"/>
  <c r="G79" i="1"/>
  <c r="F79" i="1"/>
  <c r="H79" i="1" s="1"/>
  <c r="K78" i="1"/>
  <c r="H78" i="1"/>
  <c r="K77" i="1"/>
  <c r="H77" i="1"/>
  <c r="K76" i="1"/>
  <c r="H76" i="1"/>
  <c r="K75" i="1"/>
  <c r="H75" i="1"/>
  <c r="K74" i="1"/>
  <c r="H74" i="1"/>
  <c r="K73" i="1"/>
  <c r="H73" i="1"/>
  <c r="J72" i="1"/>
  <c r="I72" i="1"/>
  <c r="K72" i="1" s="1"/>
  <c r="G72" i="1"/>
  <c r="F72" i="1"/>
  <c r="H72" i="1" s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J62" i="1"/>
  <c r="K62" i="1" s="1"/>
  <c r="I62" i="1"/>
  <c r="G62" i="1"/>
  <c r="H62" i="1" s="1"/>
  <c r="F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J42" i="1"/>
  <c r="I42" i="1"/>
  <c r="K42" i="1" s="1"/>
  <c r="H42" i="1"/>
  <c r="G42" i="1"/>
  <c r="F42" i="1"/>
  <c r="K41" i="1"/>
  <c r="H41" i="1"/>
  <c r="K40" i="1"/>
  <c r="H40" i="1"/>
  <c r="J39" i="1"/>
  <c r="I39" i="1"/>
  <c r="K39" i="1" s="1"/>
  <c r="G39" i="1"/>
  <c r="F39" i="1"/>
  <c r="H39" i="1" s="1"/>
  <c r="K38" i="1"/>
  <c r="H38" i="1"/>
  <c r="K37" i="1"/>
  <c r="H37" i="1"/>
  <c r="K36" i="1"/>
  <c r="H36" i="1"/>
  <c r="J35" i="1"/>
  <c r="I35" i="1"/>
  <c r="K35" i="1" s="1"/>
  <c r="G35" i="1"/>
  <c r="F35" i="1"/>
  <c r="H35" i="1" s="1"/>
  <c r="K34" i="1"/>
  <c r="H34" i="1"/>
  <c r="K33" i="1"/>
  <c r="H33" i="1"/>
  <c r="K32" i="1"/>
  <c r="H32" i="1"/>
  <c r="K31" i="1"/>
  <c r="H31" i="1"/>
  <c r="K30" i="1"/>
  <c r="H30" i="1"/>
  <c r="J29" i="1"/>
  <c r="I29" i="1"/>
  <c r="K29" i="1" s="1"/>
  <c r="G29" i="1"/>
  <c r="F29" i="1"/>
  <c r="H29" i="1" s="1"/>
  <c r="K28" i="1"/>
  <c r="H28" i="1"/>
  <c r="K27" i="1"/>
  <c r="H27" i="1"/>
  <c r="K26" i="1"/>
  <c r="H26" i="1"/>
  <c r="K25" i="1"/>
  <c r="H25" i="1"/>
  <c r="K24" i="1"/>
  <c r="H24" i="1"/>
  <c r="J23" i="1"/>
  <c r="I23" i="1"/>
  <c r="K23" i="1" s="1"/>
  <c r="G23" i="1"/>
  <c r="F23" i="1"/>
  <c r="H23" i="1" s="1"/>
  <c r="K22" i="1"/>
  <c r="H22" i="1"/>
  <c r="J21" i="1"/>
  <c r="I21" i="1"/>
  <c r="K21" i="1" s="1"/>
  <c r="G21" i="1"/>
  <c r="H21" i="1" s="1"/>
  <c r="F21" i="1"/>
  <c r="K20" i="1"/>
  <c r="H20" i="1"/>
  <c r="K19" i="1"/>
  <c r="H19" i="1"/>
  <c r="K18" i="1"/>
  <c r="J18" i="1"/>
  <c r="I18" i="1"/>
  <c r="G18" i="1"/>
  <c r="F18" i="1"/>
  <c r="H18" i="1" s="1"/>
  <c r="K17" i="1"/>
  <c r="H17" i="1"/>
  <c r="J16" i="1"/>
  <c r="I16" i="1"/>
  <c r="K16" i="1" s="1"/>
  <c r="H16" i="1"/>
  <c r="G16" i="1"/>
  <c r="F16" i="1"/>
  <c r="K15" i="1"/>
  <c r="H15" i="1"/>
  <c r="K14" i="1"/>
  <c r="H14" i="1"/>
  <c r="J13" i="1"/>
  <c r="I13" i="1"/>
  <c r="K13" i="1" s="1"/>
  <c r="G13" i="1"/>
  <c r="F13" i="1"/>
  <c r="H13" i="1" s="1"/>
  <c r="K12" i="1"/>
  <c r="H12" i="1"/>
  <c r="K11" i="1"/>
  <c r="H11" i="1"/>
  <c r="J10" i="1"/>
  <c r="K10" i="1" s="1"/>
  <c r="I10" i="1"/>
  <c r="G10" i="1"/>
  <c r="H10" i="1" s="1"/>
  <c r="F10" i="1"/>
  <c r="K9" i="1"/>
  <c r="H9" i="1"/>
  <c r="J8" i="1"/>
  <c r="I8" i="1"/>
  <c r="K8" i="1" s="1"/>
  <c r="G8" i="1"/>
  <c r="F8" i="1"/>
  <c r="H8" i="1" s="1"/>
  <c r="K7" i="1"/>
  <c r="H7" i="1"/>
  <c r="K6" i="1"/>
  <c r="H6" i="1"/>
  <c r="K5" i="1"/>
  <c r="H5" i="1"/>
  <c r="K4" i="1"/>
  <c r="J4" i="1"/>
  <c r="I4" i="1"/>
  <c r="G4" i="1"/>
  <c r="F4" i="1"/>
  <c r="H4" i="1" s="1"/>
</calcChain>
</file>

<file path=xl/sharedStrings.xml><?xml version="1.0" encoding="utf-8"?>
<sst xmlns="http://schemas.openxmlformats.org/spreadsheetml/2006/main" count="4744" uniqueCount="1050">
  <si>
    <t>CONSOLIDACIÓN MENSUAL / REVISIÓN</t>
  </si>
  <si>
    <t>EPLAZA</t>
  </si>
  <si>
    <t>IMPULSA</t>
  </si>
  <si>
    <t>N°</t>
  </si>
  <si>
    <t>ID</t>
  </si>
  <si>
    <t>TÍTULO / SUBTÍTULO</t>
  </si>
  <si>
    <t>DESCRIPCIÓN</t>
  </si>
  <si>
    <t>EPLAZA UF</t>
  </si>
  <si>
    <t>IMPULSA UF</t>
  </si>
  <si>
    <t>SUMA UF</t>
  </si>
  <si>
    <t>EPLAZA CLP</t>
  </si>
  <si>
    <t>IMPULSA CLP</t>
  </si>
  <si>
    <t>SUMA CLP</t>
  </si>
  <si>
    <t>CONTROL</t>
  </si>
  <si>
    <t>ORIGEN FILAS</t>
  </si>
  <si>
    <t>EFECTIVO O EFECTIVO EQUIVALENTE</t>
  </si>
  <si>
    <t>OK</t>
  </si>
  <si>
    <t>E:3 I:3</t>
  </si>
  <si>
    <t>110111</t>
  </si>
  <si>
    <t>Caja</t>
  </si>
  <si>
    <t>E:4 I:4</t>
  </si>
  <si>
    <t>110121</t>
  </si>
  <si>
    <t>EPLAZA: Banco BCI N° 10682066 | IMPULSA: Banco BCI N° 10693785</t>
  </si>
  <si>
    <t>REVISAR DESCRIPCION</t>
  </si>
  <si>
    <t>E:6 I:6</t>
  </si>
  <si>
    <t>VALORES NEGOCIABLES</t>
  </si>
  <si>
    <t>E:8 I:7</t>
  </si>
  <si>
    <t>REVISAR TITULO REPETIDO</t>
  </si>
  <si>
    <t>E:10 I:9</t>
  </si>
  <si>
    <t>110315</t>
  </si>
  <si>
    <t>Cuota Fondos Mutuos</t>
  </si>
  <si>
    <t>E:11 I:10</t>
  </si>
  <si>
    <t>DEUDORES POR PROMESAS</t>
  </si>
  <si>
    <t>SOLO EPLAZA</t>
  </si>
  <si>
    <t>E:12 I:-</t>
  </si>
  <si>
    <t>110511</t>
  </si>
  <si>
    <t>Deudores por Promesas</t>
  </si>
  <si>
    <t>E:13 I:-</t>
  </si>
  <si>
    <t>DEUDORES POR VENTAS</t>
  </si>
  <si>
    <t>E:14 I:-</t>
  </si>
  <si>
    <t>DEUDORES VARIOS</t>
  </si>
  <si>
    <t>E:16 I:11</t>
  </si>
  <si>
    <t>110563</t>
  </si>
  <si>
    <t>Anticipo Proveedores</t>
  </si>
  <si>
    <t>E:19 I:13</t>
  </si>
  <si>
    <t>110565</t>
  </si>
  <si>
    <t>Fondos a Rendir</t>
  </si>
  <si>
    <t>E:21 I:14</t>
  </si>
  <si>
    <t>CTAS Y DOCTOS X COBRAR A EERR</t>
  </si>
  <si>
    <t>E:22 I:19</t>
  </si>
  <si>
    <t>110612</t>
  </si>
  <si>
    <t>Cta. Cte. Grupo Impulsa SPA</t>
  </si>
  <si>
    <t>E:23 I:-</t>
  </si>
  <si>
    <t>IMPUESTOS POR RECUPERAR</t>
  </si>
  <si>
    <t>E:24 I:15</t>
  </si>
  <si>
    <t>110813</t>
  </si>
  <si>
    <t>Remanente Credito Fiscal</t>
  </si>
  <si>
    <t>E:27 I:-</t>
  </si>
  <si>
    <t>ACTIVOS NO CORRIENTES</t>
  </si>
  <si>
    <t>E:30 I:18</t>
  </si>
  <si>
    <t>E:31 I:-</t>
  </si>
  <si>
    <t>120411</t>
  </si>
  <si>
    <t>EPLAZA: Ctas por Cobrar | IMPULSA: Cta. Cte. Inmobiliaria EPlaza SPA</t>
  </si>
  <si>
    <t>E:32 I:20</t>
  </si>
  <si>
    <t>INVERSION EMPRESA RELACIONADA</t>
  </si>
  <si>
    <t>E:37 I:26</t>
  </si>
  <si>
    <t>120511</t>
  </si>
  <si>
    <t>EPLAZA: Inversion en Inmob. Infante Videla S.A. | IMPULSA: Inversion en Inmobiliaria EPlaza SPA</t>
  </si>
  <si>
    <t>E:38 I:27</t>
  </si>
  <si>
    <t>PROPIEDADES Y EQUIPOS</t>
  </si>
  <si>
    <t>E:42 I:33</t>
  </si>
  <si>
    <t>DEPRECIACION ACUMULADA</t>
  </si>
  <si>
    <t>E:48 I:35</t>
  </si>
  <si>
    <t>PROYECTO HERNANDO DE AGUIRRE</t>
  </si>
  <si>
    <t>E:54 I:-</t>
  </si>
  <si>
    <t>COSTOS DIRECTOS</t>
  </si>
  <si>
    <t>E:56 I:-</t>
  </si>
  <si>
    <t>TERRENO</t>
  </si>
  <si>
    <t>E:57 I:-</t>
  </si>
  <si>
    <t>120911</t>
  </si>
  <si>
    <t>Terreno</t>
  </si>
  <si>
    <t>E:58 I:-</t>
  </si>
  <si>
    <t>120912</t>
  </si>
  <si>
    <t>Costo Comision Terreno</t>
  </si>
  <si>
    <t>E:59 I:-</t>
  </si>
  <si>
    <t>120913</t>
  </si>
  <si>
    <t>Estructuracion</t>
  </si>
  <si>
    <t>E:60 I:-</t>
  </si>
  <si>
    <t>120914</t>
  </si>
  <si>
    <t>Contribuciones Bs Rs</t>
  </si>
  <si>
    <t>E:61 I:-</t>
  </si>
  <si>
    <t>120915</t>
  </si>
  <si>
    <t>Otros Terrenos</t>
  </si>
  <si>
    <t>E:62 I:-</t>
  </si>
  <si>
    <t>DERECHOS Y PERMISOS</t>
  </si>
  <si>
    <t>E:63 I:-</t>
  </si>
  <si>
    <t>120921</t>
  </si>
  <si>
    <t>Dºs Municipales</t>
  </si>
  <si>
    <t>E:64 I:-</t>
  </si>
  <si>
    <t>120922</t>
  </si>
  <si>
    <t>Arquitecto Revisor</t>
  </si>
  <si>
    <t>E:65 I:-</t>
  </si>
  <si>
    <t>120923</t>
  </si>
  <si>
    <t>Otros Derechos</t>
  </si>
  <si>
    <t>E:66 I:-</t>
  </si>
  <si>
    <t>EMPALMES</t>
  </si>
  <si>
    <t>E:67 I:-</t>
  </si>
  <si>
    <t>120931</t>
  </si>
  <si>
    <t>Empalme Electrico</t>
  </si>
  <si>
    <t>E:68 I:-</t>
  </si>
  <si>
    <t>120932</t>
  </si>
  <si>
    <t>Empalme Agua Potable</t>
  </si>
  <si>
    <t>E:69 I:-</t>
  </si>
  <si>
    <t>HONORARIOS ESPECIALIDADES</t>
  </si>
  <si>
    <t>E:70 I:-</t>
  </si>
  <si>
    <t>120941</t>
  </si>
  <si>
    <t>Arquitectura</t>
  </si>
  <si>
    <t>E:71 I:-</t>
  </si>
  <si>
    <t>120942</t>
  </si>
  <si>
    <t>Calculo</t>
  </si>
  <si>
    <t>E:72 I:-</t>
  </si>
  <si>
    <t>120943</t>
  </si>
  <si>
    <t>Electricidad</t>
  </si>
  <si>
    <t>E:73 I:-</t>
  </si>
  <si>
    <t>120944</t>
  </si>
  <si>
    <t>Alcantarillado</t>
  </si>
  <si>
    <t>E:74 I:-</t>
  </si>
  <si>
    <t>120945</t>
  </si>
  <si>
    <t>A/C y/o Calefaccion</t>
  </si>
  <si>
    <t>E:75 I:-</t>
  </si>
  <si>
    <t>120946</t>
  </si>
  <si>
    <t>Mecanica de Suelos</t>
  </si>
  <si>
    <t>E:76 I:-</t>
  </si>
  <si>
    <t>120947</t>
  </si>
  <si>
    <t>Extraccion de Basura</t>
  </si>
  <si>
    <t>E:77 I:-</t>
  </si>
  <si>
    <t>120948</t>
  </si>
  <si>
    <t>Analisis Vial Basico</t>
  </si>
  <si>
    <t>E:78 I:-</t>
  </si>
  <si>
    <t>120949</t>
  </si>
  <si>
    <t>Topografia</t>
  </si>
  <si>
    <t>E:79 I:-</t>
  </si>
  <si>
    <t>120950</t>
  </si>
  <si>
    <t>Proyectista Serviu</t>
  </si>
  <si>
    <t>E:80 I:-</t>
  </si>
  <si>
    <t>120951</t>
  </si>
  <si>
    <t>Corrientes Debiles</t>
  </si>
  <si>
    <t>E:81 I:-</t>
  </si>
  <si>
    <t>120953</t>
  </si>
  <si>
    <t>Insp. Tecnica de Obras (ITO)</t>
  </si>
  <si>
    <t>E:83 I:-</t>
  </si>
  <si>
    <t>120954</t>
  </si>
  <si>
    <t>Legales</t>
  </si>
  <si>
    <t>E:84 I:-</t>
  </si>
  <si>
    <t>120955</t>
  </si>
  <si>
    <t>Paisajismo</t>
  </si>
  <si>
    <t>E:85 I:-</t>
  </si>
  <si>
    <t>120956</t>
  </si>
  <si>
    <t>Fotocopia Planos</t>
  </si>
  <si>
    <t>E:86 I:-</t>
  </si>
  <si>
    <t>120957</t>
  </si>
  <si>
    <t>Seguridad</t>
  </si>
  <si>
    <t>E:87 I:-</t>
  </si>
  <si>
    <t>120959</t>
  </si>
  <si>
    <t>Otros Honorarios Profesionales</t>
  </si>
  <si>
    <t>E:89 I:-</t>
  </si>
  <si>
    <t>120960</t>
  </si>
  <si>
    <t>Calculista Revisor</t>
  </si>
  <si>
    <t>E:90 I:-</t>
  </si>
  <si>
    <t>120961</t>
  </si>
  <si>
    <t>Building Information Modeling (BIM)</t>
  </si>
  <si>
    <t>E:91 I:-</t>
  </si>
  <si>
    <t>CONSTRUCCION Y URBANIZACION</t>
  </si>
  <si>
    <t>E:92 I:-</t>
  </si>
  <si>
    <t>120971</t>
  </si>
  <si>
    <t>Contrato Suma Alzada</t>
  </si>
  <si>
    <t>E:93 I:-</t>
  </si>
  <si>
    <t>120972</t>
  </si>
  <si>
    <t>Credito Especial</t>
  </si>
  <si>
    <t>E:94 I:-</t>
  </si>
  <si>
    <t>120973</t>
  </si>
  <si>
    <t>Otros Const. y Urbanizacion</t>
  </si>
  <si>
    <t>E:95 I:-</t>
  </si>
  <si>
    <t>120980</t>
  </si>
  <si>
    <t>Adicional Empalmes</t>
  </si>
  <si>
    <t>E:98 I:-</t>
  </si>
  <si>
    <t>120981</t>
  </si>
  <si>
    <t>Demolicion y Obras Exteriores</t>
  </si>
  <si>
    <t>E:99 I:-</t>
  </si>
  <si>
    <t>TRASPASOS</t>
  </si>
  <si>
    <t>E:100 I:-</t>
  </si>
  <si>
    <t>Traspaso a Costo de Construccion</t>
  </si>
  <si>
    <t>E:101 I:-</t>
  </si>
  <si>
    <t>EXISTENCIA DE INMUEBLES</t>
  </si>
  <si>
    <t>E:102 I:-</t>
  </si>
  <si>
    <t>GASTOS ACTIVADOS</t>
  </si>
  <si>
    <t>E:110 I:-</t>
  </si>
  <si>
    <t>MARKETING</t>
  </si>
  <si>
    <t>E:111 I:-</t>
  </si>
  <si>
    <t>121011</t>
  </si>
  <si>
    <t>Publicidad en Medios</t>
  </si>
  <si>
    <t>E:112 I:-</t>
  </si>
  <si>
    <t>121012</t>
  </si>
  <si>
    <t>Honorarios Publicista</t>
  </si>
  <si>
    <t>E:113 I:-</t>
  </si>
  <si>
    <t>121013</t>
  </si>
  <si>
    <t>Material de Distribucion</t>
  </si>
  <si>
    <t>E:114 I:-</t>
  </si>
  <si>
    <t>121015</t>
  </si>
  <si>
    <t>Señalética</t>
  </si>
  <si>
    <t>E:115 I:-</t>
  </si>
  <si>
    <t>121016</t>
  </si>
  <si>
    <t>Estudio de Mercado</t>
  </si>
  <si>
    <t>E:116 I:-</t>
  </si>
  <si>
    <t>121017</t>
  </si>
  <si>
    <t>Otras Asesorías</t>
  </si>
  <si>
    <t>E:117 I:-</t>
  </si>
  <si>
    <t>PILOTO Y SALA DE VENTA</t>
  </si>
  <si>
    <t>E:118 I:-</t>
  </si>
  <si>
    <t>121021</t>
  </si>
  <si>
    <t>Construccion Sala de Ventas</t>
  </si>
  <si>
    <t>E:119 I:-</t>
  </si>
  <si>
    <t>121022</t>
  </si>
  <si>
    <t>Construccion Piloto</t>
  </si>
  <si>
    <t>E:120 I:-</t>
  </si>
  <si>
    <t>121023</t>
  </si>
  <si>
    <t>Decoracion Piloto</t>
  </si>
  <si>
    <t>E:121 I:-</t>
  </si>
  <si>
    <t>121025</t>
  </si>
  <si>
    <t>Equipamiento Computacional</t>
  </si>
  <si>
    <t>E:122 I:-</t>
  </si>
  <si>
    <t>121026</t>
  </si>
  <si>
    <t>Mobiliario Sala de Ventas</t>
  </si>
  <si>
    <t>E:123 I:-</t>
  </si>
  <si>
    <t>121027</t>
  </si>
  <si>
    <t>Gastos Generales Sala de Ventas</t>
  </si>
  <si>
    <t>E:124 I:-</t>
  </si>
  <si>
    <t>121028</t>
  </si>
  <si>
    <t>Sistema Cotizacion Sala de Ventas</t>
  </si>
  <si>
    <t>E:125 I:-</t>
  </si>
  <si>
    <t>121029</t>
  </si>
  <si>
    <t>Soporte y Mantencion Informatica</t>
  </si>
  <si>
    <t>E:126 I:-</t>
  </si>
  <si>
    <t>COMERCIALIZACION</t>
  </si>
  <si>
    <t>E:129 I:-</t>
  </si>
  <si>
    <t>121031</t>
  </si>
  <si>
    <t>Costo Corretaje</t>
  </si>
  <si>
    <t>E:130 I:-</t>
  </si>
  <si>
    <t>ASESORIA PROYECTO</t>
  </si>
  <si>
    <t>E:131 I:-</t>
  </si>
  <si>
    <t>121041</t>
  </si>
  <si>
    <t>Asesoria Proyecto</t>
  </si>
  <si>
    <t>E:132 I:-</t>
  </si>
  <si>
    <t>IMPREVISTOS</t>
  </si>
  <si>
    <t>E:133 I:-</t>
  </si>
  <si>
    <t>GASTOS FINANCIEROS</t>
  </si>
  <si>
    <t>E:137 I:-</t>
  </si>
  <si>
    <t>121061</t>
  </si>
  <si>
    <t>Gastos Bancarios</t>
  </si>
  <si>
    <t>E:138 I:-</t>
  </si>
  <si>
    <t>121062</t>
  </si>
  <si>
    <t>Impto Timbre Prestamos</t>
  </si>
  <si>
    <t>E:139 I:-</t>
  </si>
  <si>
    <t>121063</t>
  </si>
  <si>
    <t>Otros Gastos Bancarios</t>
  </si>
  <si>
    <t>E:140 I:-</t>
  </si>
  <si>
    <t>121064</t>
  </si>
  <si>
    <t>Prima Seguro Venta en Verde</t>
  </si>
  <si>
    <t>E:141 I:-</t>
  </si>
  <si>
    <t>121065</t>
  </si>
  <si>
    <t>Intereses Pagados</t>
  </si>
  <si>
    <t>E:142 I:-</t>
  </si>
  <si>
    <t>121067</t>
  </si>
  <si>
    <t>Intereses Credito Terreno</t>
  </si>
  <si>
    <t>E:143 I:-</t>
  </si>
  <si>
    <t>121068</t>
  </si>
  <si>
    <t>Intereses Credito Construccion</t>
  </si>
  <si>
    <t>E:144 I:-</t>
  </si>
  <si>
    <t>GASTOS GENERALES</t>
  </si>
  <si>
    <t>E:146 I:-</t>
  </si>
  <si>
    <t>121071</t>
  </si>
  <si>
    <t>Gastos Generales</t>
  </si>
  <si>
    <t>E:147 I:-</t>
  </si>
  <si>
    <t>121072</t>
  </si>
  <si>
    <t>Gtos Generales Legales Sociedad</t>
  </si>
  <si>
    <t>E:148 I:-</t>
  </si>
  <si>
    <t>121073</t>
  </si>
  <si>
    <t>Asesoria Contable y Tributaria</t>
  </si>
  <si>
    <t>E:149 I:-</t>
  </si>
  <si>
    <t>E:150 I:-</t>
  </si>
  <si>
    <t>GASTOS DE VENTAS</t>
  </si>
  <si>
    <t>E:153 I:-</t>
  </si>
  <si>
    <t>INTERESES DIFERIDOS</t>
  </si>
  <si>
    <t>E:156 I:-</t>
  </si>
  <si>
    <t>TOTAL ACTIVO</t>
  </si>
  <si>
    <t>E:159 I:38</t>
  </si>
  <si>
    <t>LINEAS DE CREDITO</t>
  </si>
  <si>
    <t>E:161 I:-</t>
  </si>
  <si>
    <t>OBLIG. CON BCOS E INST FINANCIERAS</t>
  </si>
  <si>
    <t>E:163 I:-</t>
  </si>
  <si>
    <t>CUENTAS POR PAGAR</t>
  </si>
  <si>
    <t>E:166 I:43</t>
  </si>
  <si>
    <t>210311</t>
  </si>
  <si>
    <t>Proveedores Nacionales</t>
  </si>
  <si>
    <t>E:167 I:44</t>
  </si>
  <si>
    <t>ACREEDORES VARIOS</t>
  </si>
  <si>
    <t>E:170 I:45</t>
  </si>
  <si>
    <t>DOCTOS Y CTAS POR PAGAR EERR</t>
  </si>
  <si>
    <t>E:173 I:48</t>
  </si>
  <si>
    <t>210511</t>
  </si>
  <si>
    <t>EPLAZA: Cta. Cte. Impulsa Desarrollos Inmob. SPA | IMPULSA: Cta. Cte. Inmobiliaria EPlaza SPA</t>
  </si>
  <si>
    <t>E:174 I:49</t>
  </si>
  <si>
    <t>IMPUESTO A LA RENTA</t>
  </si>
  <si>
    <t>E:177 I:54</t>
  </si>
  <si>
    <t>OTROS PASIVOS CORRIENTES</t>
  </si>
  <si>
    <t>E:179 I:56</t>
  </si>
  <si>
    <t>210932</t>
  </si>
  <si>
    <t>Impto Retenido a Profesionales</t>
  </si>
  <si>
    <t>E:186 I:57</t>
  </si>
  <si>
    <t>210941</t>
  </si>
  <si>
    <t>Honorarios x Pagar</t>
  </si>
  <si>
    <t>E:189 I:58</t>
  </si>
  <si>
    <t>OBLIG. C/BCOS E INST FINANC. L/PLAZO</t>
  </si>
  <si>
    <t>E:190 I:68</t>
  </si>
  <si>
    <t>220112</t>
  </si>
  <si>
    <t>Ptmos en MN R UF a L/Pzo</t>
  </si>
  <si>
    <t>E:192 I:-</t>
  </si>
  <si>
    <t>OTROS PASIVOS NO CORRIENTES</t>
  </si>
  <si>
    <t>E:193 I:-</t>
  </si>
  <si>
    <t>220311</t>
  </si>
  <si>
    <t>Documentos por Pagar L/Pzo</t>
  </si>
  <si>
    <t>E:194 I:-</t>
  </si>
  <si>
    <t>220412</t>
  </si>
  <si>
    <t>Garantia Clientes L/Pzo</t>
  </si>
  <si>
    <t>E:195 I:-</t>
  </si>
  <si>
    <t>DOCTOS Y CTAS POR PAGAR SOCIOS</t>
  </si>
  <si>
    <t>E:196 I:60</t>
  </si>
  <si>
    <t>220511</t>
  </si>
  <si>
    <t>Cta. Cte. Inversiones Ficus Ltda.</t>
  </si>
  <si>
    <t>E:197 I:61</t>
  </si>
  <si>
    <t>220512</t>
  </si>
  <si>
    <t>Cta. Cte. Antullape Inversiones SPA</t>
  </si>
  <si>
    <t>E:198 I:62</t>
  </si>
  <si>
    <t>220513</t>
  </si>
  <si>
    <t>Cta. Cte. Impulsa Inversiones II SPA</t>
  </si>
  <si>
    <t>E:199 I:63</t>
  </si>
  <si>
    <t>220515</t>
  </si>
  <si>
    <t>Cta. Cte. Inversiones y Ases. El Condor SPA</t>
  </si>
  <si>
    <t>E:201 I:65</t>
  </si>
  <si>
    <t>220516</t>
  </si>
  <si>
    <t>EPLAZA: Cta. Cte. Grupo Impulsa SPA | IMPULSA: Cta. Cte. FYTZ Desarrollos SPA</t>
  </si>
  <si>
    <t>E:202 I:66</t>
  </si>
  <si>
    <t>220517</t>
  </si>
  <si>
    <t>EPLAZA: Cta. Cte. FIP Desarrollo Inmob Eliecer Parada | IMPULSA: Cta. Cte. Inmobiliaria Las Pataguas Ltda.</t>
  </si>
  <si>
    <t>E:203 I:67</t>
  </si>
  <si>
    <t>INGRESOS ANTICIPADOS</t>
  </si>
  <si>
    <t>E:204 I:-</t>
  </si>
  <si>
    <t>221411</t>
  </si>
  <si>
    <t>Ingresos Anticipados x Promesas</t>
  </si>
  <si>
    <t>E:205 I:-</t>
  </si>
  <si>
    <t>PATRIMONIO</t>
  </si>
  <si>
    <t>E:206 I:70</t>
  </si>
  <si>
    <t>230111</t>
  </si>
  <si>
    <t>Capital Pagado</t>
  </si>
  <si>
    <t>E:207 I:71</t>
  </si>
  <si>
    <t>230689</t>
  </si>
  <si>
    <t>Utilidades Acumuladas</t>
  </si>
  <si>
    <t>E:214 I:79</t>
  </si>
  <si>
    <t>230690</t>
  </si>
  <si>
    <t>Perdidas Acumuladas</t>
  </si>
  <si>
    <t>E:215 I:80</t>
  </si>
  <si>
    <t>TOTAL PASIVO</t>
  </si>
  <si>
    <t>E:218 I:83</t>
  </si>
  <si>
    <t>ACTIVO  -   PASIVO</t>
  </si>
  <si>
    <t>E:220 I:85</t>
  </si>
  <si>
    <t>INGRESOS DE LA EXPLOTACION</t>
  </si>
  <si>
    <t>E:222 I:87</t>
  </si>
  <si>
    <t>320112</t>
  </si>
  <si>
    <t>Int. Ganado x Inv. en Fdo Mutuos</t>
  </si>
  <si>
    <t>E:231 I:-</t>
  </si>
  <si>
    <t>320114</t>
  </si>
  <si>
    <t>Reajuste Credito Fiscal</t>
  </si>
  <si>
    <t>E:233 I:-</t>
  </si>
  <si>
    <t>COSTOS DE LA EXPLOTACION</t>
  </si>
  <si>
    <t>E:238 I:99</t>
  </si>
  <si>
    <t>410443</t>
  </si>
  <si>
    <t>Gastos Notariales</t>
  </si>
  <si>
    <t>E:250 I:107</t>
  </si>
  <si>
    <t>410451</t>
  </si>
  <si>
    <t>Asesoria Financiera</t>
  </si>
  <si>
    <t>E:255 I:111</t>
  </si>
  <si>
    <t>410452</t>
  </si>
  <si>
    <t>Asesoria Legal</t>
  </si>
  <si>
    <t>E:256 I:112</t>
  </si>
  <si>
    <t>410455</t>
  </si>
  <si>
    <t>Auditorias y Contabilidad</t>
  </si>
  <si>
    <t>E:259 I:113</t>
  </si>
  <si>
    <t>410457</t>
  </si>
  <si>
    <t>Software</t>
  </si>
  <si>
    <t>E:260 I:115</t>
  </si>
  <si>
    <t>410460</t>
  </si>
  <si>
    <t>E:263 I:116</t>
  </si>
  <si>
    <t>410462</t>
  </si>
  <si>
    <t>Impto Timbre y Estampillas</t>
  </si>
  <si>
    <t>E:264 I:118</t>
  </si>
  <si>
    <t>450113</t>
  </si>
  <si>
    <t>E:271 I:123</t>
  </si>
  <si>
    <t>RESULTADO</t>
  </si>
  <si>
    <t>E:279 I:134</t>
  </si>
  <si>
    <t>TOTALES GENERALES</t>
  </si>
  <si>
    <t>E:281 I:136</t>
  </si>
  <si>
    <t>OBLIGACIONES CON BANCOS DE C/PLAZO</t>
  </si>
  <si>
    <t>SOLO IMPULSA</t>
  </si>
  <si>
    <t>E:- I:40</t>
  </si>
  <si>
    <t>220411</t>
  </si>
  <si>
    <t>Cuentas por Pagar L/Pzo</t>
  </si>
  <si>
    <t>E:- I:59</t>
  </si>
  <si>
    <t>FILA_RAW</t>
  </si>
  <si>
    <t>TIPO</t>
  </si>
  <si>
    <t>CODIGO</t>
  </si>
  <si>
    <t>TÍTULO / CUENTA</t>
  </si>
  <si>
    <t>SALDO_UF</t>
  </si>
  <si>
    <t>SALDO_CLP</t>
  </si>
  <si>
    <t>HOJA_ORIGEN</t>
  </si>
  <si>
    <t>TITULO</t>
  </si>
  <si>
    <t>CUENTAS DE MAYOR AGOSTO 2026</t>
  </si>
  <si>
    <t>CUENTA</t>
  </si>
  <si>
    <t>110113</t>
  </si>
  <si>
    <t>Fondo Fijo</t>
  </si>
  <si>
    <t>Banco BCI N° 10682066</t>
  </si>
  <si>
    <t>110122</t>
  </si>
  <si>
    <t>Banco Santander N° 7467536</t>
  </si>
  <si>
    <t>110211</t>
  </si>
  <si>
    <t>Depositos a Plazo en Pesos</t>
  </si>
  <si>
    <t>110521</t>
  </si>
  <si>
    <t>Deudores por Escrituras</t>
  </si>
  <si>
    <t>110561</t>
  </si>
  <si>
    <t>Deudores Varios</t>
  </si>
  <si>
    <t>110562</t>
  </si>
  <si>
    <t>Anticipo de Honorarios</t>
  </si>
  <si>
    <t>110564</t>
  </si>
  <si>
    <t>Anticipo de Sueldo</t>
  </si>
  <si>
    <t>110811</t>
  </si>
  <si>
    <t>IVA Credito Fiscal</t>
  </si>
  <si>
    <t>110812</t>
  </si>
  <si>
    <t>IVA Credito Proporcional</t>
  </si>
  <si>
    <t>110815</t>
  </si>
  <si>
    <t>Pagos Provisionales Mensuales</t>
  </si>
  <si>
    <t>Ctas por Cobrar</t>
  </si>
  <si>
    <t>120415</t>
  </si>
  <si>
    <t>Cta. Cte. Impulsa Inversiones SPA</t>
  </si>
  <si>
    <t>120418</t>
  </si>
  <si>
    <t>Cta. Cte. Inmob. y Constructora BBR SPA</t>
  </si>
  <si>
    <t>120419</t>
  </si>
  <si>
    <t>Cta. Cte. Investigacion y Desarrollo</t>
  </si>
  <si>
    <t>120420</t>
  </si>
  <si>
    <t>Cta. Cte. Prestamo x Compra Camioneta</t>
  </si>
  <si>
    <t>Inversion en Inmob. Infante Videla S.A.</t>
  </si>
  <si>
    <t>120512</t>
  </si>
  <si>
    <t>Inversion en Inmob. y Constructora BBR SPA</t>
  </si>
  <si>
    <t>120513</t>
  </si>
  <si>
    <t>Inversion en Osler Impulsa Inversiones S.L.</t>
  </si>
  <si>
    <t>120514</t>
  </si>
  <si>
    <t>Inversion en Proyecto Los Laureles</t>
  </si>
  <si>
    <t>120831</t>
  </si>
  <si>
    <t>Muebles y Utiles</t>
  </si>
  <si>
    <t>120841</t>
  </si>
  <si>
    <t>Instalaciones</t>
  </si>
  <si>
    <t>120851</t>
  </si>
  <si>
    <t>Equipos Computacionales</t>
  </si>
  <si>
    <t>120852</t>
  </si>
  <si>
    <t>Sistema Computacional</t>
  </si>
  <si>
    <t>120853</t>
  </si>
  <si>
    <t>Equipo Aire Acondicionado</t>
  </si>
  <si>
    <t>120893</t>
  </si>
  <si>
    <t>Dep Acum. Muebles y Utiles</t>
  </si>
  <si>
    <t>120894</t>
  </si>
  <si>
    <t>Dep Acum. Instalaciones</t>
  </si>
  <si>
    <t>120897</t>
  </si>
  <si>
    <t>Dep Acum. Eq. Computacionales</t>
  </si>
  <si>
    <t>120899</t>
  </si>
  <si>
    <t>Dep Acum. Equipo Aire Acondicionado</t>
  </si>
  <si>
    <t>120952</t>
  </si>
  <si>
    <t>120958</t>
  </si>
  <si>
    <t>Instalaciones Sanitarias</t>
  </si>
  <si>
    <t>120974</t>
  </si>
  <si>
    <t>Subcontratos Inmobiliaria</t>
  </si>
  <si>
    <t>120975</t>
  </si>
  <si>
    <t>Postventa</t>
  </si>
  <si>
    <t>120991</t>
  </si>
  <si>
    <t>Oficinas</t>
  </si>
  <si>
    <t>120993</t>
  </si>
  <si>
    <t>Bodegas</t>
  </si>
  <si>
    <t>120994</t>
  </si>
  <si>
    <t>Estacionamientos</t>
  </si>
  <si>
    <t>120995</t>
  </si>
  <si>
    <t>Locales Comerciales</t>
  </si>
  <si>
    <t>120996</t>
  </si>
  <si>
    <t>Mix Otros Inmuebles</t>
  </si>
  <si>
    <t>120997</t>
  </si>
  <si>
    <t>Edificio Terminado</t>
  </si>
  <si>
    <t>1109606</t>
  </si>
  <si>
    <t>Mobiliario Sala de ventas</t>
  </si>
  <si>
    <t>1109609</t>
  </si>
  <si>
    <t>Gastos generales sala de ventas</t>
  </si>
  <si>
    <t>121051</t>
  </si>
  <si>
    <t>Imprevistos</t>
  </si>
  <si>
    <t>1109902</t>
  </si>
  <si>
    <t>Post-Venta</t>
  </si>
  <si>
    <t>1109903</t>
  </si>
  <si>
    <t>Juicios y Acuerdos Vecinos</t>
  </si>
  <si>
    <t>121069</t>
  </si>
  <si>
    <t>Intereses Linea Credito Cta. Cte.</t>
  </si>
  <si>
    <t>1109941</t>
  </si>
  <si>
    <t>121092</t>
  </si>
  <si>
    <t>Traspaso a Gastos</t>
  </si>
  <si>
    <t>1109951</t>
  </si>
  <si>
    <t>Gastos Comunes y Mantención</t>
  </si>
  <si>
    <t>1109952</t>
  </si>
  <si>
    <t>Seguros S/Inmuebles x Vender</t>
  </si>
  <si>
    <t>121301</t>
  </si>
  <si>
    <t>Impuestos Diferidos</t>
  </si>
  <si>
    <t>210111</t>
  </si>
  <si>
    <t>Linea Credito Bco Santander</t>
  </si>
  <si>
    <t>210121</t>
  </si>
  <si>
    <t>Ptmos en MN NR</t>
  </si>
  <si>
    <t>210123</t>
  </si>
  <si>
    <t>Ptmos en MN R UF</t>
  </si>
  <si>
    <t>210314</t>
  </si>
  <si>
    <t>Anticipos de Clientes</t>
  </si>
  <si>
    <t>210315</t>
  </si>
  <si>
    <t>Cuentas por Pagar</t>
  </si>
  <si>
    <t>210411</t>
  </si>
  <si>
    <t>Varios Acreedores</t>
  </si>
  <si>
    <t>210412</t>
  </si>
  <si>
    <t>Cheques Girados y No Cobrados</t>
  </si>
  <si>
    <t>Cta. Cte. Impulsa Desarrollos Inmob. SPA</t>
  </si>
  <si>
    <t>210513</t>
  </si>
  <si>
    <t>Cta. Cte. Impulsa Corretajes y Gestion SPA</t>
  </si>
  <si>
    <t>210514</t>
  </si>
  <si>
    <t>Cta. Cte. Inversiones San Luis Ltda.</t>
  </si>
  <si>
    <t>210811</t>
  </si>
  <si>
    <t>Provision Impuesto a la Renta</t>
  </si>
  <si>
    <t>210911</t>
  </si>
  <si>
    <t>Remuneraciones por Pagar</t>
  </si>
  <si>
    <t>210912</t>
  </si>
  <si>
    <t>Finiquitos por Pagar</t>
  </si>
  <si>
    <t>210921</t>
  </si>
  <si>
    <t>A.F.P.</t>
  </si>
  <si>
    <t>210922</t>
  </si>
  <si>
    <t>Isapres</t>
  </si>
  <si>
    <t>210923</t>
  </si>
  <si>
    <t>Otras Entidades Previsionales</t>
  </si>
  <si>
    <t>210931</t>
  </si>
  <si>
    <t>Impuesto Unico a Trabajadores</t>
  </si>
  <si>
    <t>210933</t>
  </si>
  <si>
    <t>IVA Debito Fiscal</t>
  </si>
  <si>
    <t>210935</t>
  </si>
  <si>
    <t>PPM por Enterar</t>
  </si>
  <si>
    <t>220111</t>
  </si>
  <si>
    <t>Ptmos en MN NR a L/Pzo</t>
  </si>
  <si>
    <t>220514</t>
  </si>
  <si>
    <t>Cta. Cte. FIP Desarrollo Inmob Eliecer Parada</t>
  </si>
  <si>
    <t>230112</t>
  </si>
  <si>
    <t>Acciones</t>
  </si>
  <si>
    <t>230113</t>
  </si>
  <si>
    <t>Accionistas</t>
  </si>
  <si>
    <t>230121</t>
  </si>
  <si>
    <t>Revalorizacion Capital Propio</t>
  </si>
  <si>
    <t>230611</t>
  </si>
  <si>
    <t>Dividendos Provisorios</t>
  </si>
  <si>
    <t>230117</t>
  </si>
  <si>
    <t>Dividendos Pagados</t>
  </si>
  <si>
    <t>230688</t>
  </si>
  <si>
    <t>Utilidades Devengadas Extranjero</t>
  </si>
  <si>
    <t>230691</t>
  </si>
  <si>
    <t>Perdidas y Ganancias</t>
  </si>
  <si>
    <t>310112</t>
  </si>
  <si>
    <t>Ventas de Oficinas</t>
  </si>
  <si>
    <t>310115</t>
  </si>
  <si>
    <t>Ventas de Estacionamientos</t>
  </si>
  <si>
    <t>310116</t>
  </si>
  <si>
    <t>Ventas de Locales Comerciales</t>
  </si>
  <si>
    <t>310117</t>
  </si>
  <si>
    <t>Ventas de Mix Otros Inmuebles</t>
  </si>
  <si>
    <t>310119</t>
  </si>
  <si>
    <t>Arriendo Oficinas</t>
  </si>
  <si>
    <t>310121</t>
  </si>
  <si>
    <t>Arriendo Bodegas</t>
  </si>
  <si>
    <t>310122</t>
  </si>
  <si>
    <t>Arriendo Estacionamientos</t>
  </si>
  <si>
    <t>310123</t>
  </si>
  <si>
    <t>Arriendo Locales Comerciales</t>
  </si>
  <si>
    <t>320113</t>
  </si>
  <si>
    <t>Int. Ganado Inv. en Depto a Plazo</t>
  </si>
  <si>
    <t>320115</t>
  </si>
  <si>
    <t>Reajustes Ganados</t>
  </si>
  <si>
    <t>320432</t>
  </si>
  <si>
    <t>Recuperacion de Gastos</t>
  </si>
  <si>
    <t>320434</t>
  </si>
  <si>
    <t>Otros Ingresos</t>
  </si>
  <si>
    <t>320511</t>
  </si>
  <si>
    <t>CCMM S/. Activos no Monetarios</t>
  </si>
  <si>
    <t>410111</t>
  </si>
  <si>
    <t>Costos Venta de Inmuebles</t>
  </si>
  <si>
    <t>410113</t>
  </si>
  <si>
    <t>410312</t>
  </si>
  <si>
    <t>Avisaje en Prensa</t>
  </si>
  <si>
    <t>410316</t>
  </si>
  <si>
    <t>410429</t>
  </si>
  <si>
    <t>Gastos Comunes</t>
  </si>
  <si>
    <t>410431</t>
  </si>
  <si>
    <t>Consumo Electrico</t>
  </si>
  <si>
    <t>410432</t>
  </si>
  <si>
    <t>Consumo de Agua</t>
  </si>
  <si>
    <t>410434</t>
  </si>
  <si>
    <t>Servicio Telefonico</t>
  </si>
  <si>
    <t>410439</t>
  </si>
  <si>
    <t>Transporte y Movilizacion</t>
  </si>
  <si>
    <t>410440</t>
  </si>
  <si>
    <t>Correspondencia</t>
  </si>
  <si>
    <t>410442</t>
  </si>
  <si>
    <t>Servicio de Aseo</t>
  </si>
  <si>
    <t>410444</t>
  </si>
  <si>
    <t>Multas e Intereses</t>
  </si>
  <si>
    <t>410445</t>
  </si>
  <si>
    <t>Utiles de Oficina</t>
  </si>
  <si>
    <t>410446</t>
  </si>
  <si>
    <t>Mantenciones y Reparaciones</t>
  </si>
  <si>
    <t>410450</t>
  </si>
  <si>
    <t>Asesoria Informatica</t>
  </si>
  <si>
    <t>410453</t>
  </si>
  <si>
    <t>Asesorias Tecnicas</t>
  </si>
  <si>
    <t>410454</t>
  </si>
  <si>
    <t>Asesorias Administrativas</t>
  </si>
  <si>
    <t>410458</t>
  </si>
  <si>
    <t>Suministros Computacionales</t>
  </si>
  <si>
    <t>410459</t>
  </si>
  <si>
    <t>Primas x Polizas de Seguro</t>
  </si>
  <si>
    <t>410463</t>
  </si>
  <si>
    <t>Depreciacion Activo Fijo</t>
  </si>
  <si>
    <t>410466</t>
  </si>
  <si>
    <t>410467</t>
  </si>
  <si>
    <t>Patentes Municipales</t>
  </si>
  <si>
    <t>410469</t>
  </si>
  <si>
    <t>Gastos Varios</t>
  </si>
  <si>
    <t>450111</t>
  </si>
  <si>
    <t>Int. Pagado x Ptmos MN NR</t>
  </si>
  <si>
    <t>450112</t>
  </si>
  <si>
    <t>Int. Pagado x Ptmo MN R UF</t>
  </si>
  <si>
    <t>450114</t>
  </si>
  <si>
    <t>Reajustes Pagados</t>
  </si>
  <si>
    <t>450117</t>
  </si>
  <si>
    <t>Interes L/Credito Bco Security</t>
  </si>
  <si>
    <t>450511</t>
  </si>
  <si>
    <t>CCMM S/. Pasivos no Monetarios</t>
  </si>
  <si>
    <t>450512</t>
  </si>
  <si>
    <t>CCMM S/. Capital Propio</t>
  </si>
  <si>
    <t>450514</t>
  </si>
  <si>
    <t>Diferencia de Cambio</t>
  </si>
  <si>
    <t>Banco BCI N° 10693785</t>
  </si>
  <si>
    <t>1108113</t>
  </si>
  <si>
    <t>Credito x Pago Prov. Util. Abs. (PPUA)</t>
  </si>
  <si>
    <t>Cta. Cte. Inmobiliaria EPlaza SPA</t>
  </si>
  <si>
    <t>120412</t>
  </si>
  <si>
    <t>Cta. Cte. Inmob. San Juan De La Luz S.A.</t>
  </si>
  <si>
    <t>120413</t>
  </si>
  <si>
    <t>Cta. Cte. Inmobiliaria EPlaza S.A.</t>
  </si>
  <si>
    <t>120414</t>
  </si>
  <si>
    <t>Cta. Cte. Inmob. Manquehue Norte 321 SPA</t>
  </si>
  <si>
    <t>Cta. Cte. Inmob. y Const. Los Laureles SPA</t>
  </si>
  <si>
    <t>120416</t>
  </si>
  <si>
    <t>Inversion en Inmobiliaria EPlaza SPA</t>
  </si>
  <si>
    <t>Inversion en Inmob. San Juan De La Luz S.A.</t>
  </si>
  <si>
    <t>Inversion en Inmobiliaria EPlaza S.A.</t>
  </si>
  <si>
    <t>Inversion en Inmob. Manquehue Norte 321 SPA</t>
  </si>
  <si>
    <t>120515</t>
  </si>
  <si>
    <t>Inversion en Inmob. y Const. Los Laureles SPA</t>
  </si>
  <si>
    <t>120516</t>
  </si>
  <si>
    <t>Inversion en Grupo Impulsa SPA</t>
  </si>
  <si>
    <t>120811</t>
  </si>
  <si>
    <t>Inmuebles</t>
  </si>
  <si>
    <t>120891</t>
  </si>
  <si>
    <t>Dep Acumulada Inmuebles</t>
  </si>
  <si>
    <t>210131</t>
  </si>
  <si>
    <t>Ptmos en MN R UF Porcion C/Pzo</t>
  </si>
  <si>
    <t>210515</t>
  </si>
  <si>
    <t>Cta. Cte. Ing. e Inv. Fernandez Ltda.</t>
  </si>
  <si>
    <t>210516</t>
  </si>
  <si>
    <t>Cta. Cte. Soc de Inv. e Inmob. San Luis Ltda.</t>
  </si>
  <si>
    <t>210517</t>
  </si>
  <si>
    <t>Cta. Cte. Sandra Fernandez Sanhueza</t>
  </si>
  <si>
    <t>210518</t>
  </si>
  <si>
    <t>Cta. Cte. FYTZ Desarrollos SPA</t>
  </si>
  <si>
    <t>Cta. Cte. Inmobiliaria Las Pataguas Ltda.</t>
  </si>
  <si>
    <t>230617</t>
  </si>
  <si>
    <t>Dividendos desde Domingo Bondi S.A.</t>
  </si>
  <si>
    <t>230618</t>
  </si>
  <si>
    <t>Dividendos desde Republica de Cuba S.A.</t>
  </si>
  <si>
    <t>3201101</t>
  </si>
  <si>
    <t>Intereses ganados</t>
  </si>
  <si>
    <t>Arriendos Percibidos</t>
  </si>
  <si>
    <t>3204121</t>
  </si>
  <si>
    <t>Otros ingresos</t>
  </si>
  <si>
    <t>320111</t>
  </si>
  <si>
    <t>320413</t>
  </si>
  <si>
    <t>Dividendos Percibidos</t>
  </si>
  <si>
    <t>320414</t>
  </si>
  <si>
    <t>Dividendos Domingo Bondi S.A.</t>
  </si>
  <si>
    <t>320415</t>
  </si>
  <si>
    <t>Dividendos Republica de Cuba S.A.</t>
  </si>
  <si>
    <t>320421</t>
  </si>
  <si>
    <t>Utilidad x Vta Acciones SGI Corredores</t>
  </si>
  <si>
    <t>410421</t>
  </si>
  <si>
    <t>Gastos de Representación</t>
  </si>
  <si>
    <t>410423</t>
  </si>
  <si>
    <t>410425</t>
  </si>
  <si>
    <t>410430</t>
  </si>
  <si>
    <t>Viajes</t>
  </si>
  <si>
    <t>410433</t>
  </si>
  <si>
    <t>Asesorias tecnicas</t>
  </si>
  <si>
    <t>410435</t>
  </si>
  <si>
    <t>410437</t>
  </si>
  <si>
    <t>410438</t>
  </si>
  <si>
    <t>Asesoria Proyectos Inmobiliarios</t>
  </si>
  <si>
    <t>410456</t>
  </si>
  <si>
    <t>410461</t>
  </si>
  <si>
    <t>Comisiones Pagadas</t>
  </si>
  <si>
    <t>410484</t>
  </si>
  <si>
    <t>Seguros</t>
  </si>
  <si>
    <t>Intereses L/Credito Bco. Chile</t>
  </si>
  <si>
    <t>4502102</t>
  </si>
  <si>
    <t>VPP Inmobiliaria J. Matte</t>
  </si>
  <si>
    <t>4502103</t>
  </si>
  <si>
    <t>VPP Inmobiliaria El Roble</t>
  </si>
  <si>
    <t>4502104</t>
  </si>
  <si>
    <t>VPP Inmobiliaria La Espuela</t>
  </si>
  <si>
    <t>470111</t>
  </si>
  <si>
    <t>Impuesto a la Renta</t>
  </si>
  <si>
    <t>SEVERIDAD</t>
  </si>
  <si>
    <t>EMPRESA</t>
  </si>
  <si>
    <t>HALLAZGO</t>
  </si>
  <si>
    <t>CLAVE</t>
  </si>
  <si>
    <t>DETALLE</t>
  </si>
  <si>
    <t>UBICACIÓN</t>
  </si>
  <si>
    <t>INFO</t>
  </si>
  <si>
    <t>TITULO_EN_DESCRIPCION</t>
  </si>
  <si>
    <t>Fila 56; se conserva visible</t>
  </si>
  <si>
    <t>Fila 101; se conserva visible</t>
  </si>
  <si>
    <t>Fila 110; se conserva visible</t>
  </si>
  <si>
    <t>Fila 159; se conserva visible</t>
  </si>
  <si>
    <t>Fila 218; se conserva visible</t>
  </si>
  <si>
    <t>Fila 220; se conserva visible</t>
  </si>
  <si>
    <t>Fila 279; se conserva visible</t>
  </si>
  <si>
    <t>Fila 281; se conserva visible</t>
  </si>
  <si>
    <t>ALERTA</t>
  </si>
  <si>
    <t>CODIGO_NO_NUMERICO</t>
  </si>
  <si>
    <t>uf_al_bce</t>
  </si>
  <si>
    <t>Fila 289</t>
  </si>
  <si>
    <t>Fila 38; se conserva visible</t>
  </si>
  <si>
    <t>Fila 83; se conserva visible</t>
  </si>
  <si>
    <t>Fila 85; se conserva visible</t>
  </si>
  <si>
    <t>Fila 134; se conserva visible</t>
  </si>
  <si>
    <t>Fila 136; se conserva visible</t>
  </si>
  <si>
    <t>Fila 144</t>
  </si>
  <si>
    <t>AMBAS</t>
  </si>
  <si>
    <t>CUENTA_CERO_OCULTA</t>
  </si>
  <si>
    <t>Cuenta omitida de ALIGN: UF y CLP vacíos/cero en ambas empresas</t>
  </si>
  <si>
    <t>E:5 I:5</t>
  </si>
  <si>
    <t>DESCRIPCIONES_DIFERENTES</t>
  </si>
  <si>
    <t>FILA_UNILATERAL</t>
  </si>
  <si>
    <t>E:7 I:-</t>
  </si>
  <si>
    <t>E:9 I:8</t>
  </si>
  <si>
    <t>TITULO_REPETIDO</t>
  </si>
  <si>
    <t>Ocurrencia 2; emparejamiento ordinal provisional; validar jerarquía</t>
  </si>
  <si>
    <t>deudores por promesas</t>
  </si>
  <si>
    <t>deudores por ventas</t>
  </si>
  <si>
    <t>E:15 I:-</t>
  </si>
  <si>
    <t>E:17 I:12</t>
  </si>
  <si>
    <t>E:18 I:-</t>
  </si>
  <si>
    <t>E:20 I:-</t>
  </si>
  <si>
    <t>E:25 I:-</t>
  </si>
  <si>
    <t>E:26 I:-</t>
  </si>
  <si>
    <t>E:28 I:-</t>
  </si>
  <si>
    <t>ctas y doctos x cobrar a eerr</t>
  </si>
  <si>
    <t>EPLAZA: Cta. Cte. Impulsa Inversiones SPA | IMPULSA: Cta. Cte. Inmob. y Const. Los Laureles SPA</t>
  </si>
  <si>
    <t>E:33 I:24</t>
  </si>
  <si>
    <t>E:34 I:-</t>
  </si>
  <si>
    <t>E:35 I:-</t>
  </si>
  <si>
    <t>E:36 I:-</t>
  </si>
  <si>
    <t>EPLAZA: Inversion en Inmob. y Constructora BBR SPA | IMPULSA: Inversion en Inmob. San Juan De La Luz S.A.</t>
  </si>
  <si>
    <t>E:39 I:28</t>
  </si>
  <si>
    <t>EPLAZA: Inversion en Osler Impulsa Inversiones S.L. | IMPULSA: Inversion en Inmobiliaria EPlaza S.A.</t>
  </si>
  <si>
    <t>E:40 I:29</t>
  </si>
  <si>
    <t>EPLAZA: Inversion en Proyecto Los Laureles | IMPULSA: Inversion en Inmob. Manquehue Norte 321 SPA</t>
  </si>
  <si>
    <t>E:41 I:30</t>
  </si>
  <si>
    <t>E:43 I:-</t>
  </si>
  <si>
    <t>E:44 I:-</t>
  </si>
  <si>
    <t>E:45 I:-</t>
  </si>
  <si>
    <t>E:46 I:-</t>
  </si>
  <si>
    <t>E:47 I:-</t>
  </si>
  <si>
    <t>E:49 I:-</t>
  </si>
  <si>
    <t>E:50 I:-</t>
  </si>
  <si>
    <t>E:51 I:-</t>
  </si>
  <si>
    <t>E:52 I:-</t>
  </si>
  <si>
    <t>proyecto hernando de aguirre</t>
  </si>
  <si>
    <t>costos directos</t>
  </si>
  <si>
    <t>terreno</t>
  </si>
  <si>
    <t>derechos y permisos</t>
  </si>
  <si>
    <t>empalmes</t>
  </si>
  <si>
    <t>honorarios especialidades</t>
  </si>
  <si>
    <t>E:82 I:-</t>
  </si>
  <si>
    <t>E:88 I:-</t>
  </si>
  <si>
    <t>construccion y urbanizacion</t>
  </si>
  <si>
    <t>E:96 I:-</t>
  </si>
  <si>
    <t>E:97 I:-</t>
  </si>
  <si>
    <t>traspasos</t>
  </si>
  <si>
    <t>traspaso a costo de construccion</t>
  </si>
  <si>
    <t>existencia de inmuebles</t>
  </si>
  <si>
    <t>E:103 I:-</t>
  </si>
  <si>
    <t>E:104 I:-</t>
  </si>
  <si>
    <t>E:105 I:-</t>
  </si>
  <si>
    <t>E:106 I:-</t>
  </si>
  <si>
    <t>E:107 I:-</t>
  </si>
  <si>
    <t>E:108 I:-</t>
  </si>
  <si>
    <t>gastos activados</t>
  </si>
  <si>
    <t>marketing</t>
  </si>
  <si>
    <t>piloto y sala de venta</t>
  </si>
  <si>
    <t>E:127 I:-</t>
  </si>
  <si>
    <t>E:128 I:-</t>
  </si>
  <si>
    <t>comercializacion</t>
  </si>
  <si>
    <t>asesoria proyecto</t>
  </si>
  <si>
    <t>imprevistos</t>
  </si>
  <si>
    <t>E:134 I:-</t>
  </si>
  <si>
    <t>E:135 I:-</t>
  </si>
  <si>
    <t>E:136 I:-</t>
  </si>
  <si>
    <t>gastos financieros</t>
  </si>
  <si>
    <t>E:145 I:-</t>
  </si>
  <si>
    <t>gastos generales</t>
  </si>
  <si>
    <t>E:151 I:-</t>
  </si>
  <si>
    <t>E:152 I:-</t>
  </si>
  <si>
    <t>gastos de ventas</t>
  </si>
  <si>
    <t>E:154 I:-</t>
  </si>
  <si>
    <t>E:155 I:-</t>
  </si>
  <si>
    <t>intereses diferidos</t>
  </si>
  <si>
    <t>E:157 I:-</t>
  </si>
  <si>
    <t>lineas de credito</t>
  </si>
  <si>
    <t>E:162 I:41</t>
  </si>
  <si>
    <t>oblig. con bcos e inst financieras</t>
  </si>
  <si>
    <t>E:164 I:-</t>
  </si>
  <si>
    <t>E:165 I:-</t>
  </si>
  <si>
    <t>E:168 I:-</t>
  </si>
  <si>
    <t>E:169 I:-</t>
  </si>
  <si>
    <t>E:171 I:46</t>
  </si>
  <si>
    <t>E:172 I:47</t>
  </si>
  <si>
    <t>E:175 I:-</t>
  </si>
  <si>
    <t>E:176 I:-</t>
  </si>
  <si>
    <t>E:178 I:55</t>
  </si>
  <si>
    <t>E:180 I:-</t>
  </si>
  <si>
    <t>E:181 I:-</t>
  </si>
  <si>
    <t>E:182 I:-</t>
  </si>
  <si>
    <t>E:183 I:-</t>
  </si>
  <si>
    <t>E:184 I:-</t>
  </si>
  <si>
    <t>E:185 I:-</t>
  </si>
  <si>
    <t>E:187 I:-</t>
  </si>
  <si>
    <t>E:188 I:-</t>
  </si>
  <si>
    <t>EPLAZA: Ptmos en MN NR a L/Pzo | IMPULSA: Ptmos en MN R UF a L/Pzo</t>
  </si>
  <si>
    <t>E:191 I:69</t>
  </si>
  <si>
    <t>otros pasivos no corrientes</t>
  </si>
  <si>
    <t>EPLAZA: Cta. Cte. Impulsa Desarrollos Inmob. SPA | IMPULSA: Cta. Cte. Inversiones San Luis Ltda.</t>
  </si>
  <si>
    <t>E:200 I:64</t>
  </si>
  <si>
    <t>ingresos anticipados</t>
  </si>
  <si>
    <t>E:208 I:72</t>
  </si>
  <si>
    <t>E:209 I:73</t>
  </si>
  <si>
    <t>E:210 I:74</t>
  </si>
  <si>
    <t>E:211 I:75</t>
  </si>
  <si>
    <t>E:212 I:78</t>
  </si>
  <si>
    <t>E:213 I:-</t>
  </si>
  <si>
    <t>E:216 I:81</t>
  </si>
  <si>
    <t>EPLAZA: Ventas de Oficinas | IMPULSA: Arriendos Percibidos</t>
  </si>
  <si>
    <t>E:223 I:89</t>
  </si>
  <si>
    <t>E:224 I:-</t>
  </si>
  <si>
    <t>E:225 I:-</t>
  </si>
  <si>
    <t>E:226 I:-</t>
  </si>
  <si>
    <t>E:227 I:-</t>
  </si>
  <si>
    <t>E:228 I:-</t>
  </si>
  <si>
    <t>E:229 I:-</t>
  </si>
  <si>
    <t>E:230 I:-</t>
  </si>
  <si>
    <t>E:232 I:-</t>
  </si>
  <si>
    <t>E:234 I:90</t>
  </si>
  <si>
    <t>E:235 I:92</t>
  </si>
  <si>
    <t>E:236 I:-</t>
  </si>
  <si>
    <t>E:237 I:98</t>
  </si>
  <si>
    <t>E:239 I:-</t>
  </si>
  <si>
    <t>E:240 I:-</t>
  </si>
  <si>
    <t>E:241 I:-</t>
  </si>
  <si>
    <t>E:242 I:-</t>
  </si>
  <si>
    <t>E:243 I:-</t>
  </si>
  <si>
    <t>E:244 I:-</t>
  </si>
  <si>
    <t>EPLAZA: Consumo de Agua | IMPULSA: Asesoria Legal</t>
  </si>
  <si>
    <t>E:245 I:104</t>
  </si>
  <si>
    <t>E:246 I:-</t>
  </si>
  <si>
    <t>E:247 I:-</t>
  </si>
  <si>
    <t>E:248 I:-</t>
  </si>
  <si>
    <t>E:249 I:-</t>
  </si>
  <si>
    <t>E:251 I:110</t>
  </si>
  <si>
    <t>E:252 I:-</t>
  </si>
  <si>
    <t>E:253 I:-</t>
  </si>
  <si>
    <t>E:254 I:-</t>
  </si>
  <si>
    <t>E:257 I:-</t>
  </si>
  <si>
    <t>E:258 I:-</t>
  </si>
  <si>
    <t>E:261 I:-</t>
  </si>
  <si>
    <t>E:262 I:-</t>
  </si>
  <si>
    <t>E:265 I:-</t>
  </si>
  <si>
    <t>E:266 I:-</t>
  </si>
  <si>
    <t>E:267 I:119</t>
  </si>
  <si>
    <t>E:268 I:120</t>
  </si>
  <si>
    <t>E:269 I:-</t>
  </si>
  <si>
    <t>E:270 I:122</t>
  </si>
  <si>
    <t>E:272 I:124</t>
  </si>
  <si>
    <t>EPLAZA: Interes L/Credito Bco Security | IMPULSA: Intereses L/Credito Bco. Chile</t>
  </si>
  <si>
    <t>E:273 I:125</t>
  </si>
  <si>
    <t>E:274 I:129</t>
  </si>
  <si>
    <t>E:275 I:130</t>
  </si>
  <si>
    <t>E:276 I:131</t>
  </si>
  <si>
    <t>E:- I:16</t>
  </si>
  <si>
    <t>E:- I:21</t>
  </si>
  <si>
    <t>E:- I:22</t>
  </si>
  <si>
    <t>E:- I:23</t>
  </si>
  <si>
    <t>E:- I:25</t>
  </si>
  <si>
    <t>E:- I:31</t>
  </si>
  <si>
    <t>E:- I:32</t>
  </si>
  <si>
    <t>E:- I:34</t>
  </si>
  <si>
    <t>E:- I:36</t>
  </si>
  <si>
    <t>obligaciones con bancos de c/plazo</t>
  </si>
  <si>
    <t>E:- I:42</t>
  </si>
  <si>
    <t>E:- I:50</t>
  </si>
  <si>
    <t>E:- I:51</t>
  </si>
  <si>
    <t>E:- I:52</t>
  </si>
  <si>
    <t>E:- I:53</t>
  </si>
  <si>
    <t>E:- I:76</t>
  </si>
  <si>
    <t>E:- I:77</t>
  </si>
  <si>
    <t>E:- I:88</t>
  </si>
  <si>
    <t>E:- I:91</t>
  </si>
  <si>
    <t>E:- I:93</t>
  </si>
  <si>
    <t>E:- I:94</t>
  </si>
  <si>
    <t>E:- I:95</t>
  </si>
  <si>
    <t>E:- I:96</t>
  </si>
  <si>
    <t>E:- I:97</t>
  </si>
  <si>
    <t>E:- I:100</t>
  </si>
  <si>
    <t>E:- I:101</t>
  </si>
  <si>
    <t>E:- I:102</t>
  </si>
  <si>
    <t>E:- I:103</t>
  </si>
  <si>
    <t>E:- I:105</t>
  </si>
  <si>
    <t>E:- I:106</t>
  </si>
  <si>
    <t>E:- I:108</t>
  </si>
  <si>
    <t>E:- I:109</t>
  </si>
  <si>
    <t>E:- I:114</t>
  </si>
  <si>
    <t>E:- I:117</t>
  </si>
  <si>
    <t>E:- I:121</t>
  </si>
  <si>
    <t>E:- I:126</t>
  </si>
  <si>
    <t>E:- I:127</t>
  </si>
  <si>
    <t>E:- I:128</t>
  </si>
  <si>
    <t>E:- I:132</t>
  </si>
  <si>
    <t>CRITICO</t>
  </si>
  <si>
    <t>DESCUADRE_SUBTOTAL_VERTICAL</t>
  </si>
  <si>
    <t>UF RAW=164250.7400; SUMA_CUENTAS=0.0000; DIFERENCIA=-164250.7400</t>
  </si>
  <si>
    <t>RAW fila 19; ALIGN fila 16</t>
  </si>
  <si>
    <t>CLP RAW=6525346829.0000; SUMA_CUENTAS=0.0000; DIFERENCIA=-6525346829.0000</t>
  </si>
  <si>
    <t>TOTAL_SIN_JERARQUIA_SEGURA</t>
  </si>
  <si>
    <t>No se genera suma vertical: título agregado, bloque sin cuentas visibles o jerarquía ambigua</t>
  </si>
  <si>
    <t>ALIGN fila 27</t>
  </si>
  <si>
    <t>ALIGN fila 28</t>
  </si>
  <si>
    <t>ALIGN fila 71</t>
  </si>
  <si>
    <t>ALIGN fila 108</t>
  </si>
  <si>
    <t>UF RAW=-71206.3600; SUMA_CUENTAS=-6.3600; DIFERENCIA=71200.0000</t>
  </si>
  <si>
    <t>RAW fila 56; ALIGN fila 117</t>
  </si>
  <si>
    <t>CLP RAW=-2828911133.0000; SUMA_CUENTAS=-259788.0000; DIFERENCIA=2828651345.0000</t>
  </si>
  <si>
    <t>ALIGN fila 138</t>
  </si>
  <si>
    <t>ALIGN fila 139</t>
  </si>
  <si>
    <t>ALIGN fila 152</t>
  </si>
  <si>
    <t>UF RAW=0.0000; SUMA_CUENTAS=-71200.0000; DIFERENCIA=-71200.0000</t>
  </si>
  <si>
    <t>RAW fila 40; ALIGN fila 154</t>
  </si>
  <si>
    <t>CLP RAW=0.0000; SUMA_CUENTAS=-2828651345.0000; DIFERENCIA=-2828651345.0000</t>
  </si>
  <si>
    <t>ARCHIVO</t>
  </si>
  <si>
    <t>PERÍODO</t>
  </si>
  <si>
    <t>SHA256</t>
  </si>
  <si>
    <t>Mayor Inmob. Eplaza 2026 08 V 1.xlsb</t>
  </si>
  <si>
    <t>2026.08</t>
  </si>
  <si>
    <t>bca421c1a730fee0d44607d9bb0af49bea0407345d852e96c7135508585025c5</t>
  </si>
  <si>
    <t>Mayor Grupo Impulsa 2026 08 V 1.xlsb</t>
  </si>
  <si>
    <t>b074626b2380646b5c563492e66b4d0a19714d817e4e9c1f52ba310cadd1de43</t>
  </si>
  <si>
    <t>ESTADO</t>
  </si>
  <si>
    <t>PROTOTIPO NO VALIDADO</t>
  </si>
  <si>
    <t>SIN MAPEO FM</t>
  </si>
  <si>
    <t>REVISAR AUDIT</t>
  </si>
  <si>
    <t>VENTAS</t>
  </si>
  <si>
    <t>Departamentos</t>
  </si>
  <si>
    <t>Bodegas Dptos</t>
  </si>
  <si>
    <t>Estacionamientos Dptos</t>
  </si>
  <si>
    <t>Locales</t>
  </si>
  <si>
    <t>Bodegas Locales</t>
  </si>
  <si>
    <t>Estacionamientos Locales</t>
  </si>
  <si>
    <t>Bodega Oficinas</t>
  </si>
  <si>
    <t>Estacionamiento Oficinas</t>
  </si>
  <si>
    <t xml:space="preserve">Total ventas </t>
  </si>
  <si>
    <t>EGRESOS</t>
  </si>
  <si>
    <t xml:space="preserve">Terreno  Neto </t>
  </si>
  <si>
    <t>Comisión terreno</t>
  </si>
  <si>
    <t xml:space="preserve">Financiamieno terreno </t>
  </si>
  <si>
    <t>Dif de cambio</t>
  </si>
  <si>
    <t>Estructuración</t>
  </si>
  <si>
    <t>Otros Terreno</t>
  </si>
  <si>
    <t>Costos Construcción y Especialidades</t>
  </si>
  <si>
    <t>Derechos</t>
  </si>
  <si>
    <t>Demolición y Obras exteriores</t>
  </si>
  <si>
    <t>Construcción  (Incl. IVB)</t>
  </si>
  <si>
    <t xml:space="preserve">Crédito especial IVA </t>
  </si>
  <si>
    <t>Honorarios Post venta y Plan OK  (Considera UF1.947 en contrato Santolaya)</t>
  </si>
  <si>
    <t>Empalmes</t>
  </si>
  <si>
    <t>Honorario Especialistas</t>
  </si>
  <si>
    <t>SUBTOTAL COSTOS DIRECTOS</t>
  </si>
  <si>
    <t>Costos Comercialización y Administración</t>
  </si>
  <si>
    <t>Gastos Comunes, mantención y Contribuciones</t>
  </si>
  <si>
    <t>Marketing</t>
  </si>
  <si>
    <t>Comercialización (Incluye Hon. De Fitz e Impulsa CI)</t>
  </si>
  <si>
    <t>Administración (Honorario fijo)</t>
  </si>
  <si>
    <t xml:space="preserve">Gasto Financiero </t>
  </si>
  <si>
    <t>Pólizas de venta en verde</t>
  </si>
  <si>
    <t>SUBTOTAL COSTOS INDIRECTOS</t>
  </si>
  <si>
    <t>Total Inversión</t>
  </si>
  <si>
    <t>IVA</t>
  </si>
  <si>
    <t>RESULTADO ANTES DE FEE E IMPUESTOS</t>
  </si>
  <si>
    <t>Fee PROYECTO</t>
  </si>
  <si>
    <t>RESULTADO ANTES DE IMPUESTOS ANTES DE CP</t>
  </si>
  <si>
    <t>Costo Financiero Capital Preferente</t>
  </si>
  <si>
    <t>RESULTADO DESPUES DE CP</t>
  </si>
  <si>
    <t>Rentabilidad del Proyecto</t>
  </si>
  <si>
    <t>Capital requerido para el proyecto (incluido terreno)</t>
  </si>
  <si>
    <t>Capital Preferente ya obtenido</t>
  </si>
  <si>
    <t>Rentabilidad sobre el capital invertido</t>
  </si>
  <si>
    <t>Neto UF</t>
  </si>
  <si>
    <t>proyectado</t>
  </si>
  <si>
    <t>TOTAL</t>
  </si>
  <si>
    <t>FUNDING MEMO V0 4/24/2024</t>
  </si>
  <si>
    <t>Partida</t>
  </si>
  <si>
    <t>Criterio EPLAZA</t>
  </si>
  <si>
    <t>Criterio IMPULSA</t>
  </si>
  <si>
    <t>Criterio general</t>
  </si>
  <si>
    <t>VACIADO CONTABILIDAD A FUNDING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</si>
</sst>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;\–"/>
    <numFmt numFmtId="165" formatCode="#,##0.0_);[Red]\(#,##0.0\)"/>
    <numFmt numFmtId="166" formatCode="0.0%"/>
    <numFmt numFmtId="168" formatCode="&quot;Criteria &quot;mmm/d/yyyy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u/>
      <sz val="10"/>
      <name val="Tahoma"/>
      <family val="2"/>
    </font>
    <font>
      <b/>
      <sz val="8"/>
      <name val="Tahoma"/>
      <family val="2"/>
    </font>
    <font>
      <sz val="10"/>
      <color theme="1"/>
      <name val="Calibri"/>
      <family val="2"/>
      <scheme val="minor"/>
    </font>
    <font>
      <sz val="12"/>
      <name val="Tahoma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32F48"/>
        <bgColor indexed="64"/>
      </patternFill>
    </fill>
    <fill>
      <patternFill patternType="solid">
        <fgColor rgb="FF234A69"/>
        <bgColor indexed="64"/>
      </patternFill>
    </fill>
    <fill>
      <patternFill patternType="solid">
        <fgColor rgb="FFEAF0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/>
      <right style="mediumDashed">
        <color rgb="FF0070C0"/>
      </right>
      <top/>
      <bottom/>
      <diagonal/>
    </border>
    <border>
      <left style="mediumDashed">
        <color rgb="FF00B050"/>
      </left>
      <right style="mediumDashed">
        <color rgb="FF00B05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Dashed">
        <color rgb="FF0070C0"/>
      </right>
      <top style="thin">
        <color auto="1"/>
      </top>
      <bottom style="thin">
        <color auto="1"/>
      </bottom>
      <diagonal/>
    </border>
    <border>
      <left style="mediumDashed">
        <color rgb="FF00B050"/>
      </left>
      <right style="mediumDashed">
        <color rgb="FF00B050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/>
    <xf numFmtId="164" fontId="3" fillId="4" borderId="0" xfId="0" applyNumberFormat="1" applyFont="1" applyFill="1"/>
    <xf numFmtId="164" fontId="0" fillId="0" borderId="0" xfId="0" applyNumberFormat="1"/>
    <xf numFmtId="0" fontId="1" fillId="2" borderId="0" xfId="0" applyFont="1" applyFill="1"/>
    <xf numFmtId="0" fontId="5" fillId="0" borderId="0" xfId="0" applyFont="1" applyAlignment="1">
      <alignment horizontal="center"/>
    </xf>
    <xf numFmtId="38" fontId="6" fillId="0" borderId="0" xfId="0" applyNumberFormat="1" applyFont="1" applyAlignment="1">
      <alignment horizontal="center"/>
    </xf>
    <xf numFmtId="40" fontId="8" fillId="0" borderId="0" xfId="0" applyNumberFormat="1" applyFont="1" applyAlignment="1">
      <alignment horizontal="left"/>
    </xf>
    <xf numFmtId="40" fontId="6" fillId="6" borderId="0" xfId="0" applyNumberFormat="1" applyFont="1" applyFill="1" applyAlignment="1">
      <alignment horizontal="center"/>
    </xf>
    <xf numFmtId="40" fontId="5" fillId="6" borderId="0" xfId="0" applyNumberFormat="1" applyFont="1" applyFill="1" applyAlignment="1">
      <alignment horizontal="center"/>
    </xf>
    <xf numFmtId="165" fontId="6" fillId="6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3" fontId="8" fillId="7" borderId="0" xfId="0" applyNumberFormat="1" applyFont="1" applyFill="1"/>
    <xf numFmtId="0" fontId="8" fillId="7" borderId="0" xfId="0" applyFont="1" applyFill="1"/>
    <xf numFmtId="0" fontId="5" fillId="7" borderId="0" xfId="0" applyFont="1" applyFill="1" applyAlignment="1">
      <alignment horizontal="center"/>
    </xf>
    <xf numFmtId="165" fontId="6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left"/>
    </xf>
    <xf numFmtId="40" fontId="5" fillId="0" borderId="0" xfId="0" applyNumberFormat="1" applyFont="1" applyAlignment="1">
      <alignment horizontal="center"/>
    </xf>
    <xf numFmtId="40" fontId="5" fillId="6" borderId="0" xfId="0" applyNumberFormat="1" applyFont="1" applyFill="1" applyAlignment="1">
      <alignment horizontal="center" vertical="center" wrapText="1"/>
    </xf>
    <xf numFmtId="40" fontId="8" fillId="0" borderId="0" xfId="0" applyNumberFormat="1" applyFont="1"/>
    <xf numFmtId="0" fontId="8" fillId="0" borderId="0" xfId="0" applyFont="1"/>
    <xf numFmtId="40" fontId="10" fillId="0" borderId="0" xfId="0" applyNumberFormat="1" applyFont="1"/>
    <xf numFmtId="0" fontId="8" fillId="0" borderId="0" xfId="0" applyFont="1" applyAlignment="1">
      <alignment wrapText="1"/>
    </xf>
    <xf numFmtId="0" fontId="5" fillId="0" borderId="0" xfId="0" applyFont="1"/>
    <xf numFmtId="0" fontId="10" fillId="0" borderId="0" xfId="0" applyFont="1"/>
    <xf numFmtId="40" fontId="8" fillId="0" borderId="0" xfId="0" applyNumberFormat="1" applyFont="1" applyAlignment="1">
      <alignment wrapText="1"/>
    </xf>
    <xf numFmtId="0" fontId="5" fillId="8" borderId="0" xfId="0" applyFont="1" applyFill="1" applyAlignment="1">
      <alignment horizontal="center"/>
    </xf>
    <xf numFmtId="165" fontId="6" fillId="8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38" fontId="9" fillId="0" borderId="0" xfId="0" applyNumberFormat="1" applyFont="1"/>
    <xf numFmtId="0" fontId="8" fillId="0" borderId="0" xfId="0" applyFont="1" applyAlignment="1">
      <alignment horizontal="left"/>
    </xf>
    <xf numFmtId="38" fontId="11" fillId="0" borderId="0" xfId="0" applyNumberFormat="1" applyFont="1" applyAlignment="1">
      <alignment horizontal="center"/>
    </xf>
    <xf numFmtId="0" fontId="12" fillId="0" borderId="0" xfId="0" applyFont="1"/>
    <xf numFmtId="168" fontId="0" fillId="0" borderId="0" xfId="0" applyNumberFormat="1" applyAlignment="1">
      <alignment horizontal="center"/>
    </xf>
    <xf numFmtId="0" fontId="14" fillId="5" borderId="0" xfId="0" applyFont="1" applyFill="1"/>
    <xf numFmtId="0" fontId="0" fillId="5" borderId="0" xfId="0" applyFill="1"/>
    <xf numFmtId="14" fontId="13" fillId="0" borderId="1" xfId="0" applyNumberFormat="1" applyFont="1" applyFill="1" applyBorder="1" applyAlignment="1">
      <alignment horizontal="center" wrapText="1"/>
    </xf>
    <xf numFmtId="40" fontId="6" fillId="6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7" fillId="7" borderId="1" xfId="0" applyNumberFormat="1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165" fontId="8" fillId="0" borderId="1" xfId="0" applyNumberFormat="1" applyFont="1" applyBorder="1"/>
    <xf numFmtId="0" fontId="0" fillId="0" borderId="2" xfId="0" applyBorder="1"/>
    <xf numFmtId="40" fontId="6" fillId="6" borderId="2" xfId="0" applyNumberFormat="1" applyFont="1" applyFill="1" applyBorder="1" applyAlignment="1">
      <alignment horizontal="center"/>
    </xf>
    <xf numFmtId="165" fontId="6" fillId="7" borderId="2" xfId="0" applyNumberFormat="1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5" fontId="6" fillId="8" borderId="2" xfId="0" applyNumberFormat="1" applyFont="1" applyFill="1" applyBorder="1" applyAlignment="1">
      <alignment horizontal="center"/>
    </xf>
    <xf numFmtId="165" fontId="6" fillId="6" borderId="2" xfId="0" applyNumberFormat="1" applyFont="1" applyFill="1" applyBorder="1" applyAlignment="1">
      <alignment horizontal="center"/>
    </xf>
    <xf numFmtId="0" fontId="8" fillId="7" borderId="3" xfId="0" applyFont="1" applyFill="1" applyBorder="1"/>
    <xf numFmtId="165" fontId="7" fillId="7" borderId="4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8" fillId="0" borderId="3" xfId="0" applyFont="1" applyBorder="1"/>
    <xf numFmtId="165" fontId="7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40" fontId="8" fillId="0" borderId="3" xfId="0" applyNumberFormat="1" applyFont="1" applyBorder="1" applyAlignment="1">
      <alignment wrapText="1"/>
    </xf>
    <xf numFmtId="40" fontId="8" fillId="0" borderId="3" xfId="0" applyNumberFormat="1" applyFont="1" applyBorder="1"/>
    <xf numFmtId="0" fontId="8" fillId="0" borderId="3" xfId="0" applyFont="1" applyBorder="1" applyAlignment="1">
      <alignment horizontal="left"/>
    </xf>
    <xf numFmtId="9" fontId="6" fillId="0" borderId="4" xfId="1" applyFont="1" applyFill="1" applyBorder="1" applyAlignment="1">
      <alignment horizontal="center"/>
    </xf>
    <xf numFmtId="166" fontId="7" fillId="0" borderId="4" xfId="1" applyNumberFormat="1" applyFont="1" applyBorder="1" applyAlignment="1">
      <alignment horizontal="center"/>
    </xf>
    <xf numFmtId="166" fontId="7" fillId="0" borderId="3" xfId="1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55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 x14ac:dyDescent="0.25"/>
  <cols>
    <col min="2" max="2" width="9.7109375" customWidth="1"/>
    <col min="3" max="3" width="16.7109375" customWidth="1"/>
    <col min="4" max="4" width="39.7109375" customWidth="1"/>
    <col min="5" max="5" width="76.7109375" customWidth="1"/>
    <col min="6" max="11" width="19.7109375" customWidth="1"/>
    <col min="12" max="12" width="27.7109375" customWidth="1"/>
    <col min="13" max="13" width="26.7109375" customWidth="1"/>
  </cols>
  <sheetData>
    <row r="1" spans="2:13" ht="18.75" x14ac:dyDescent="0.3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2:13" x14ac:dyDescent="0.25">
      <c r="F2" t="s">
        <v>1</v>
      </c>
      <c r="G2" t="s">
        <v>2</v>
      </c>
    </row>
    <row r="3" spans="2:13" x14ac:dyDescent="0.25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2:13" s="2" customFormat="1" x14ac:dyDescent="0.25">
      <c r="B4" s="2">
        <v>1</v>
      </c>
      <c r="D4" s="2" t="s">
        <v>15</v>
      </c>
      <c r="F4" s="3">
        <f>SUM(F5,F6)</f>
        <v>170.85999999992958</v>
      </c>
      <c r="G4" s="3">
        <f>SUM(G5,G6)</f>
        <v>65.690000000000055</v>
      </c>
      <c r="H4" s="3">
        <f t="shared" ref="H4:H35" si="0">SUM(F4:G4)</f>
        <v>236.54999999992964</v>
      </c>
      <c r="I4" s="3">
        <f>SUM(I5,I6)</f>
        <v>6515882</v>
      </c>
      <c r="J4" s="3">
        <f>SUM(J5,J6)</f>
        <v>2620670</v>
      </c>
      <c r="K4" s="3">
        <f t="shared" ref="K4:K35" si="1">SUM(I4:J4)</f>
        <v>9136552</v>
      </c>
      <c r="L4" s="2" t="s">
        <v>16</v>
      </c>
      <c r="M4" s="2" t="s">
        <v>17</v>
      </c>
    </row>
    <row r="5" spans="2:13" x14ac:dyDescent="0.25">
      <c r="B5">
        <v>2</v>
      </c>
      <c r="C5" t="s">
        <v>18</v>
      </c>
      <c r="E5" t="s">
        <v>19</v>
      </c>
      <c r="F5" s="4">
        <v>25.17</v>
      </c>
      <c r="G5" s="4">
        <v>0</v>
      </c>
      <c r="H5" s="4">
        <f t="shared" si="0"/>
        <v>25.17</v>
      </c>
      <c r="I5" s="4">
        <v>1000000</v>
      </c>
      <c r="J5" s="4">
        <v>0</v>
      </c>
      <c r="K5" s="4">
        <f t="shared" si="1"/>
        <v>1000000</v>
      </c>
      <c r="L5" t="s">
        <v>16</v>
      </c>
      <c r="M5" t="s">
        <v>20</v>
      </c>
    </row>
    <row r="6" spans="2:13" x14ac:dyDescent="0.25">
      <c r="B6">
        <v>3</v>
      </c>
      <c r="C6" t="s">
        <v>21</v>
      </c>
      <c r="E6" t="s">
        <v>22</v>
      </c>
      <c r="F6" s="4">
        <v>145.6899999999296</v>
      </c>
      <c r="G6" s="4">
        <v>65.690000000000055</v>
      </c>
      <c r="H6" s="4">
        <f t="shared" si="0"/>
        <v>211.37999999992965</v>
      </c>
      <c r="I6" s="4">
        <v>5515882</v>
      </c>
      <c r="J6" s="4">
        <v>2620670</v>
      </c>
      <c r="K6" s="4">
        <f t="shared" si="1"/>
        <v>8136552</v>
      </c>
      <c r="L6" t="s">
        <v>23</v>
      </c>
      <c r="M6" t="s">
        <v>24</v>
      </c>
    </row>
    <row r="7" spans="2:13" s="2" customFormat="1" x14ac:dyDescent="0.25">
      <c r="B7" s="2">
        <v>4</v>
      </c>
      <c r="D7" s="2" t="s">
        <v>25</v>
      </c>
      <c r="F7" s="3">
        <v>0</v>
      </c>
      <c r="G7" s="3">
        <v>0</v>
      </c>
      <c r="H7" s="3">
        <f t="shared" si="0"/>
        <v>0</v>
      </c>
      <c r="I7" s="3">
        <v>0</v>
      </c>
      <c r="J7" s="3">
        <v>0</v>
      </c>
      <c r="K7" s="3">
        <f t="shared" si="1"/>
        <v>0</v>
      </c>
      <c r="L7" s="2" t="s">
        <v>16</v>
      </c>
      <c r="M7" s="2" t="s">
        <v>26</v>
      </c>
    </row>
    <row r="8" spans="2:13" s="2" customFormat="1" x14ac:dyDescent="0.25">
      <c r="B8" s="2">
        <v>5</v>
      </c>
      <c r="D8" s="2" t="s">
        <v>25</v>
      </c>
      <c r="F8" s="3">
        <f>SUM(F9)</f>
        <v>4549.0999999999995</v>
      </c>
      <c r="G8" s="3">
        <f>SUM(G9)</f>
        <v>0</v>
      </c>
      <c r="H8" s="3">
        <f t="shared" si="0"/>
        <v>4549.0999999999995</v>
      </c>
      <c r="I8" s="3">
        <f>SUM(I9)</f>
        <v>180874770</v>
      </c>
      <c r="J8" s="3">
        <f>SUM(J9)</f>
        <v>0</v>
      </c>
      <c r="K8" s="3">
        <f t="shared" si="1"/>
        <v>180874770</v>
      </c>
      <c r="L8" s="2" t="s">
        <v>27</v>
      </c>
      <c r="M8" s="2" t="s">
        <v>28</v>
      </c>
    </row>
    <row r="9" spans="2:13" x14ac:dyDescent="0.25">
      <c r="B9">
        <v>6</v>
      </c>
      <c r="C9" t="s">
        <v>29</v>
      </c>
      <c r="E9" t="s">
        <v>30</v>
      </c>
      <c r="F9" s="4">
        <v>4549.0999999999995</v>
      </c>
      <c r="G9" s="4">
        <v>0</v>
      </c>
      <c r="H9" s="4">
        <f t="shared" si="0"/>
        <v>4549.0999999999995</v>
      </c>
      <c r="I9" s="4">
        <v>180874770</v>
      </c>
      <c r="J9" s="4">
        <v>0</v>
      </c>
      <c r="K9" s="4">
        <f t="shared" si="1"/>
        <v>180874770</v>
      </c>
      <c r="L9" t="s">
        <v>16</v>
      </c>
      <c r="M9" t="s">
        <v>31</v>
      </c>
    </row>
    <row r="10" spans="2:13" s="2" customFormat="1" x14ac:dyDescent="0.25">
      <c r="B10" s="2">
        <v>7</v>
      </c>
      <c r="D10" s="2" t="s">
        <v>32</v>
      </c>
      <c r="F10" s="3">
        <f>SUM(F11)</f>
        <v>123276.76</v>
      </c>
      <c r="G10" s="3">
        <f>SUM(G11)</f>
        <v>0</v>
      </c>
      <c r="H10" s="3">
        <f t="shared" si="0"/>
        <v>123276.76</v>
      </c>
      <c r="I10" s="3">
        <f>SUM(I11)</f>
        <v>4934649793</v>
      </c>
      <c r="J10" s="3">
        <f>SUM(J11)</f>
        <v>0</v>
      </c>
      <c r="K10" s="3">
        <f t="shared" si="1"/>
        <v>4934649793</v>
      </c>
      <c r="L10" s="2" t="s">
        <v>33</v>
      </c>
      <c r="M10" s="2" t="s">
        <v>34</v>
      </c>
    </row>
    <row r="11" spans="2:13" x14ac:dyDescent="0.25">
      <c r="B11">
        <v>8</v>
      </c>
      <c r="C11" t="s">
        <v>35</v>
      </c>
      <c r="E11" t="s">
        <v>36</v>
      </c>
      <c r="F11" s="4">
        <v>123276.76</v>
      </c>
      <c r="H11" s="4">
        <f t="shared" si="0"/>
        <v>123276.76</v>
      </c>
      <c r="I11" s="4">
        <v>4934649793</v>
      </c>
      <c r="K11" s="4">
        <f t="shared" si="1"/>
        <v>4934649793</v>
      </c>
      <c r="L11" t="s">
        <v>33</v>
      </c>
      <c r="M11" t="s">
        <v>37</v>
      </c>
    </row>
    <row r="12" spans="2:13" s="2" customFormat="1" x14ac:dyDescent="0.25">
      <c r="B12" s="2">
        <v>9</v>
      </c>
      <c r="D12" s="2" t="s">
        <v>38</v>
      </c>
      <c r="F12" s="3">
        <v>0</v>
      </c>
      <c r="H12" s="3">
        <f t="shared" si="0"/>
        <v>0</v>
      </c>
      <c r="I12" s="3">
        <v>0</v>
      </c>
      <c r="K12" s="3">
        <f t="shared" si="1"/>
        <v>0</v>
      </c>
      <c r="L12" s="2" t="s">
        <v>33</v>
      </c>
      <c r="M12" s="2" t="s">
        <v>39</v>
      </c>
    </row>
    <row r="13" spans="2:13" s="2" customFormat="1" x14ac:dyDescent="0.25">
      <c r="B13" s="2">
        <v>10</v>
      </c>
      <c r="D13" s="2" t="s">
        <v>40</v>
      </c>
      <c r="F13" s="3">
        <f>SUM(F14,F15)</f>
        <v>188.18000000000063</v>
      </c>
      <c r="G13" s="3">
        <f>SUM(G14,G15)</f>
        <v>490.61</v>
      </c>
      <c r="H13" s="3">
        <f t="shared" si="0"/>
        <v>678.79000000000065</v>
      </c>
      <c r="I13" s="3">
        <f>SUM(I14,I15)</f>
        <v>7484000</v>
      </c>
      <c r="J13" s="3">
        <f>SUM(J14,J15)</f>
        <v>20000000</v>
      </c>
      <c r="K13" s="3">
        <f t="shared" si="1"/>
        <v>27484000</v>
      </c>
      <c r="L13" s="2" t="s">
        <v>16</v>
      </c>
      <c r="M13" s="2" t="s">
        <v>41</v>
      </c>
    </row>
    <row r="14" spans="2:13" x14ac:dyDescent="0.25">
      <c r="B14">
        <v>11</v>
      </c>
      <c r="C14" t="s">
        <v>42</v>
      </c>
      <c r="E14" t="s">
        <v>43</v>
      </c>
      <c r="F14" s="4">
        <v>104.88000000000061</v>
      </c>
      <c r="G14" s="4">
        <v>0</v>
      </c>
      <c r="H14" s="4">
        <f t="shared" si="0"/>
        <v>104.88000000000061</v>
      </c>
      <c r="I14" s="4">
        <v>4284000</v>
      </c>
      <c r="J14" s="4">
        <v>0</v>
      </c>
      <c r="K14" s="4">
        <f t="shared" si="1"/>
        <v>4284000</v>
      </c>
      <c r="L14" t="s">
        <v>16</v>
      </c>
      <c r="M14" t="s">
        <v>44</v>
      </c>
    </row>
    <row r="15" spans="2:13" x14ac:dyDescent="0.25">
      <c r="B15">
        <v>12</v>
      </c>
      <c r="C15" t="s">
        <v>45</v>
      </c>
      <c r="E15" t="s">
        <v>46</v>
      </c>
      <c r="F15" s="4">
        <v>83.300000000000011</v>
      </c>
      <c r="G15" s="4">
        <v>490.61</v>
      </c>
      <c r="H15" s="4">
        <f t="shared" si="0"/>
        <v>573.91000000000008</v>
      </c>
      <c r="I15" s="4">
        <v>3200000</v>
      </c>
      <c r="J15" s="4">
        <v>20000000</v>
      </c>
      <c r="K15" s="4">
        <f t="shared" si="1"/>
        <v>23200000</v>
      </c>
      <c r="L15" t="s">
        <v>16</v>
      </c>
      <c r="M15" t="s">
        <v>47</v>
      </c>
    </row>
    <row r="16" spans="2:13" s="2" customFormat="1" x14ac:dyDescent="0.25">
      <c r="B16" s="2">
        <v>13</v>
      </c>
      <c r="D16" s="2" t="s">
        <v>48</v>
      </c>
      <c r="F16" s="3">
        <f>SUM(F17)</f>
        <v>16287.48</v>
      </c>
      <c r="G16" s="3">
        <f>SUM(G17)</f>
        <v>0</v>
      </c>
      <c r="H16" s="3">
        <f t="shared" si="0"/>
        <v>16287.48</v>
      </c>
      <c r="I16" s="3">
        <f>SUM(I17)</f>
        <v>649194033</v>
      </c>
      <c r="J16" s="3">
        <f>SUM(J17)</f>
        <v>0</v>
      </c>
      <c r="K16" s="3">
        <f t="shared" si="1"/>
        <v>649194033</v>
      </c>
      <c r="L16" s="2" t="s">
        <v>16</v>
      </c>
      <c r="M16" s="2" t="s">
        <v>49</v>
      </c>
    </row>
    <row r="17" spans="2:13" x14ac:dyDescent="0.25">
      <c r="B17">
        <v>14</v>
      </c>
      <c r="C17" t="s">
        <v>50</v>
      </c>
      <c r="E17" t="s">
        <v>51</v>
      </c>
      <c r="F17" s="4">
        <v>16287.48</v>
      </c>
      <c r="H17" s="4">
        <f t="shared" si="0"/>
        <v>16287.48</v>
      </c>
      <c r="I17" s="4">
        <v>649194033</v>
      </c>
      <c r="K17" s="4">
        <f t="shared" si="1"/>
        <v>649194033</v>
      </c>
      <c r="L17" t="s">
        <v>33</v>
      </c>
      <c r="M17" t="s">
        <v>52</v>
      </c>
    </row>
    <row r="18" spans="2:13" s="2" customFormat="1" x14ac:dyDescent="0.25">
      <c r="B18" s="2">
        <v>15</v>
      </c>
      <c r="D18" s="2" t="s">
        <v>53</v>
      </c>
      <c r="F18" s="3">
        <f>SUM(F19)</f>
        <v>55380.66</v>
      </c>
      <c r="G18" s="3">
        <f>SUM(G19)</f>
        <v>0</v>
      </c>
      <c r="H18" s="3">
        <f t="shared" si="0"/>
        <v>55380.66</v>
      </c>
      <c r="I18" s="3">
        <f>SUM(I19)</f>
        <v>2205412772</v>
      </c>
      <c r="J18" s="3">
        <f>SUM(J19)</f>
        <v>0</v>
      </c>
      <c r="K18" s="3">
        <f t="shared" si="1"/>
        <v>2205412772</v>
      </c>
      <c r="L18" s="2" t="s">
        <v>16</v>
      </c>
      <c r="M18" s="2" t="s">
        <v>54</v>
      </c>
    </row>
    <row r="19" spans="2:13" x14ac:dyDescent="0.25">
      <c r="B19">
        <v>16</v>
      </c>
      <c r="C19" t="s">
        <v>55</v>
      </c>
      <c r="E19" t="s">
        <v>56</v>
      </c>
      <c r="F19" s="4">
        <v>55380.66</v>
      </c>
      <c r="H19" s="4">
        <f t="shared" si="0"/>
        <v>55380.66</v>
      </c>
      <c r="I19" s="4">
        <v>2205412772</v>
      </c>
      <c r="K19" s="4">
        <f t="shared" si="1"/>
        <v>2205412772</v>
      </c>
      <c r="L19" t="s">
        <v>33</v>
      </c>
      <c r="M19" t="s">
        <v>57</v>
      </c>
    </row>
    <row r="20" spans="2:13" s="2" customFormat="1" x14ac:dyDescent="0.25">
      <c r="B20" s="2">
        <v>17</v>
      </c>
      <c r="D20" s="2" t="s">
        <v>58</v>
      </c>
      <c r="H20" s="3">
        <f t="shared" si="0"/>
        <v>0</v>
      </c>
      <c r="K20" s="3">
        <f t="shared" si="1"/>
        <v>0</v>
      </c>
      <c r="L20" s="2" t="s">
        <v>16</v>
      </c>
      <c r="M20" s="2" t="s">
        <v>59</v>
      </c>
    </row>
    <row r="21" spans="2:13" s="2" customFormat="1" x14ac:dyDescent="0.25">
      <c r="B21" s="2">
        <v>18</v>
      </c>
      <c r="D21" s="2" t="s">
        <v>48</v>
      </c>
      <c r="F21" s="3">
        <f>SUM(F22)</f>
        <v>0</v>
      </c>
      <c r="G21" s="3">
        <f>SUM(G22)</f>
        <v>164250.74</v>
      </c>
      <c r="H21" s="3">
        <f t="shared" si="0"/>
        <v>164250.74</v>
      </c>
      <c r="I21" s="3">
        <f>SUM(I22)</f>
        <v>0</v>
      </c>
      <c r="J21" s="3">
        <f>SUM(J22)</f>
        <v>6525346829</v>
      </c>
      <c r="K21" s="3">
        <f t="shared" si="1"/>
        <v>6525346829</v>
      </c>
      <c r="L21" s="2" t="s">
        <v>27</v>
      </c>
      <c r="M21" s="2" t="s">
        <v>60</v>
      </c>
    </row>
    <row r="22" spans="2:13" x14ac:dyDescent="0.25">
      <c r="B22">
        <v>19</v>
      </c>
      <c r="C22" t="s">
        <v>61</v>
      </c>
      <c r="E22" t="s">
        <v>62</v>
      </c>
      <c r="F22" s="4">
        <v>0</v>
      </c>
      <c r="G22" s="4">
        <v>164250.74</v>
      </c>
      <c r="H22" s="4">
        <f t="shared" si="0"/>
        <v>164250.74</v>
      </c>
      <c r="I22" s="4">
        <v>0</v>
      </c>
      <c r="J22" s="4">
        <v>6525346829</v>
      </c>
      <c r="K22" s="4">
        <f t="shared" si="1"/>
        <v>6525346829</v>
      </c>
      <c r="L22" t="s">
        <v>23</v>
      </c>
      <c r="M22" t="s">
        <v>63</v>
      </c>
    </row>
    <row r="23" spans="2:13" s="2" customFormat="1" x14ac:dyDescent="0.25">
      <c r="B23" s="2">
        <v>20</v>
      </c>
      <c r="D23" s="2" t="s">
        <v>64</v>
      </c>
      <c r="F23" s="3">
        <f>SUM(F24)</f>
        <v>0</v>
      </c>
      <c r="G23" s="3">
        <f>SUM(G24)</f>
        <v>17.64</v>
      </c>
      <c r="H23" s="3">
        <f t="shared" si="0"/>
        <v>17.64</v>
      </c>
      <c r="I23" s="3">
        <f>SUM(I24)</f>
        <v>0</v>
      </c>
      <c r="J23" s="3">
        <f>SUM(J24)</f>
        <v>700945</v>
      </c>
      <c r="K23" s="3">
        <f t="shared" si="1"/>
        <v>700945</v>
      </c>
      <c r="L23" s="2" t="s">
        <v>16</v>
      </c>
      <c r="M23" s="2" t="s">
        <v>65</v>
      </c>
    </row>
    <row r="24" spans="2:13" x14ac:dyDescent="0.25">
      <c r="B24">
        <v>21</v>
      </c>
      <c r="C24" t="s">
        <v>66</v>
      </c>
      <c r="E24" t="s">
        <v>67</v>
      </c>
      <c r="F24" s="4">
        <v>0</v>
      </c>
      <c r="G24" s="4">
        <v>17.64</v>
      </c>
      <c r="H24" s="4">
        <f t="shared" si="0"/>
        <v>17.64</v>
      </c>
      <c r="I24" s="4">
        <v>0</v>
      </c>
      <c r="J24" s="4">
        <v>700945</v>
      </c>
      <c r="K24" s="4">
        <f t="shared" si="1"/>
        <v>700945</v>
      </c>
      <c r="L24" t="s">
        <v>23</v>
      </c>
      <c r="M24" t="s">
        <v>68</v>
      </c>
    </row>
    <row r="25" spans="2:13" s="2" customFormat="1" x14ac:dyDescent="0.25">
      <c r="B25" s="2">
        <v>22</v>
      </c>
      <c r="D25" s="2" t="s">
        <v>69</v>
      </c>
      <c r="F25" s="3">
        <v>0</v>
      </c>
      <c r="G25" s="3">
        <v>0</v>
      </c>
      <c r="H25" s="3">
        <f t="shared" si="0"/>
        <v>0</v>
      </c>
      <c r="I25" s="3">
        <v>0</v>
      </c>
      <c r="J25" s="3">
        <v>0</v>
      </c>
      <c r="K25" s="3">
        <f t="shared" si="1"/>
        <v>0</v>
      </c>
      <c r="L25" s="2" t="s">
        <v>16</v>
      </c>
      <c r="M25" s="2" t="s">
        <v>70</v>
      </c>
    </row>
    <row r="26" spans="2:13" s="2" customFormat="1" x14ac:dyDescent="0.25">
      <c r="B26" s="2">
        <v>23</v>
      </c>
      <c r="D26" s="2" t="s">
        <v>71</v>
      </c>
      <c r="F26" s="3">
        <v>0</v>
      </c>
      <c r="G26" s="3">
        <v>0</v>
      </c>
      <c r="H26" s="3">
        <f t="shared" si="0"/>
        <v>0</v>
      </c>
      <c r="I26" s="3">
        <v>0</v>
      </c>
      <c r="J26" s="3">
        <v>0</v>
      </c>
      <c r="K26" s="3">
        <f t="shared" si="1"/>
        <v>0</v>
      </c>
      <c r="L26" s="2" t="s">
        <v>16</v>
      </c>
      <c r="M26" s="2" t="s">
        <v>72</v>
      </c>
    </row>
    <row r="27" spans="2:13" s="2" customFormat="1" x14ac:dyDescent="0.25">
      <c r="B27" s="2">
        <v>24</v>
      </c>
      <c r="D27" s="2" t="s">
        <v>73</v>
      </c>
      <c r="F27" s="3">
        <v>550120.95999999996</v>
      </c>
      <c r="H27" s="3">
        <f t="shared" si="0"/>
        <v>550120.95999999996</v>
      </c>
      <c r="I27" s="3">
        <v>21880254760</v>
      </c>
      <c r="K27" s="3">
        <f t="shared" si="1"/>
        <v>21880254760</v>
      </c>
      <c r="L27" s="2" t="s">
        <v>33</v>
      </c>
      <c r="M27" s="2" t="s">
        <v>74</v>
      </c>
    </row>
    <row r="28" spans="2:13" s="2" customFormat="1" x14ac:dyDescent="0.25">
      <c r="B28" s="2">
        <v>25</v>
      </c>
      <c r="D28" s="2" t="s">
        <v>75</v>
      </c>
      <c r="F28" s="3">
        <v>458992.37</v>
      </c>
      <c r="H28" s="3">
        <f t="shared" si="0"/>
        <v>458992.37</v>
      </c>
      <c r="I28" s="3">
        <v>18254887779</v>
      </c>
      <c r="K28" s="3">
        <f t="shared" si="1"/>
        <v>18254887779</v>
      </c>
      <c r="L28" s="2" t="s">
        <v>33</v>
      </c>
      <c r="M28" s="2" t="s">
        <v>76</v>
      </c>
    </row>
    <row r="29" spans="2:13" s="2" customFormat="1" x14ac:dyDescent="0.25">
      <c r="B29" s="2">
        <v>26</v>
      </c>
      <c r="D29" s="2" t="s">
        <v>77</v>
      </c>
      <c r="F29" s="3">
        <f>SUM(F30,F31,F32,F33,F34)</f>
        <v>191897.91000000003</v>
      </c>
      <c r="G29" s="3">
        <f>SUM(G30,G31,G32,G33,G34)</f>
        <v>0</v>
      </c>
      <c r="H29" s="3">
        <f t="shared" si="0"/>
        <v>191897.91000000003</v>
      </c>
      <c r="I29" s="3">
        <f>SUM(I30,I31,I32,I33,I34)</f>
        <v>7623882471</v>
      </c>
      <c r="J29" s="3">
        <f>SUM(J30,J31,J32,J33,J34)</f>
        <v>0</v>
      </c>
      <c r="K29" s="3">
        <f t="shared" si="1"/>
        <v>7623882471</v>
      </c>
      <c r="L29" s="2" t="s">
        <v>33</v>
      </c>
      <c r="M29" s="2" t="s">
        <v>78</v>
      </c>
    </row>
    <row r="30" spans="2:13" x14ac:dyDescent="0.25">
      <c r="B30">
        <v>27</v>
      </c>
      <c r="C30" t="s">
        <v>79</v>
      </c>
      <c r="E30" t="s">
        <v>80</v>
      </c>
      <c r="F30" s="4">
        <v>180096.35</v>
      </c>
      <c r="H30" s="4">
        <f t="shared" si="0"/>
        <v>180096.35</v>
      </c>
      <c r="I30" s="4">
        <v>7154860589</v>
      </c>
      <c r="K30" s="4">
        <f t="shared" si="1"/>
        <v>7154860589</v>
      </c>
      <c r="L30" t="s">
        <v>33</v>
      </c>
      <c r="M30" t="s">
        <v>81</v>
      </c>
    </row>
    <row r="31" spans="2:13" x14ac:dyDescent="0.25">
      <c r="B31">
        <v>28</v>
      </c>
      <c r="C31" t="s">
        <v>82</v>
      </c>
      <c r="E31" t="s">
        <v>83</v>
      </c>
      <c r="F31" s="4">
        <v>3600.07</v>
      </c>
      <c r="H31" s="4">
        <f t="shared" si="0"/>
        <v>3600.07</v>
      </c>
      <c r="I31" s="4">
        <v>143023437</v>
      </c>
      <c r="K31" s="4">
        <f t="shared" si="1"/>
        <v>143023437</v>
      </c>
      <c r="L31" t="s">
        <v>33</v>
      </c>
      <c r="M31" t="s">
        <v>84</v>
      </c>
    </row>
    <row r="32" spans="2:13" x14ac:dyDescent="0.25">
      <c r="B32">
        <v>29</v>
      </c>
      <c r="C32" t="s">
        <v>85</v>
      </c>
      <c r="E32" t="s">
        <v>86</v>
      </c>
      <c r="F32" s="4">
        <v>4000</v>
      </c>
      <c r="H32" s="4">
        <f t="shared" si="0"/>
        <v>4000</v>
      </c>
      <c r="I32" s="4">
        <v>158911840</v>
      </c>
      <c r="K32" s="4">
        <f t="shared" si="1"/>
        <v>158911840</v>
      </c>
      <c r="L32" t="s">
        <v>33</v>
      </c>
      <c r="M32" t="s">
        <v>87</v>
      </c>
    </row>
    <row r="33" spans="2:13" x14ac:dyDescent="0.25">
      <c r="B33">
        <v>30</v>
      </c>
      <c r="C33" t="s">
        <v>88</v>
      </c>
      <c r="E33" t="s">
        <v>89</v>
      </c>
      <c r="F33" s="4">
        <v>3712.14</v>
      </c>
      <c r="H33" s="4">
        <f t="shared" si="0"/>
        <v>3712.14</v>
      </c>
      <c r="I33" s="4">
        <v>147645728</v>
      </c>
      <c r="K33" s="4">
        <f t="shared" si="1"/>
        <v>147645728</v>
      </c>
      <c r="L33" t="s">
        <v>33</v>
      </c>
      <c r="M33" t="s">
        <v>90</v>
      </c>
    </row>
    <row r="34" spans="2:13" x14ac:dyDescent="0.25">
      <c r="B34">
        <v>31</v>
      </c>
      <c r="C34" t="s">
        <v>91</v>
      </c>
      <c r="E34" t="s">
        <v>92</v>
      </c>
      <c r="F34" s="4">
        <v>489.35</v>
      </c>
      <c r="H34" s="4">
        <f t="shared" si="0"/>
        <v>489.35</v>
      </c>
      <c r="I34" s="4">
        <v>19440877</v>
      </c>
      <c r="K34" s="4">
        <f t="shared" si="1"/>
        <v>19440877</v>
      </c>
      <c r="L34" t="s">
        <v>33</v>
      </c>
      <c r="M34" t="s">
        <v>93</v>
      </c>
    </row>
    <row r="35" spans="2:13" s="2" customFormat="1" x14ac:dyDescent="0.25">
      <c r="B35" s="2">
        <v>32</v>
      </c>
      <c r="D35" s="2" t="s">
        <v>94</v>
      </c>
      <c r="F35" s="3">
        <f>SUM(F36,F37,F38)</f>
        <v>1559.1399999999999</v>
      </c>
      <c r="G35" s="3">
        <f>SUM(G36,G37,G38)</f>
        <v>0</v>
      </c>
      <c r="H35" s="3">
        <f t="shared" si="0"/>
        <v>1559.1399999999999</v>
      </c>
      <c r="I35" s="3">
        <f>SUM(I36,I37,I38)</f>
        <v>62123793</v>
      </c>
      <c r="J35" s="3">
        <f>SUM(J36,J37,J38)</f>
        <v>0</v>
      </c>
      <c r="K35" s="3">
        <f t="shared" si="1"/>
        <v>62123793</v>
      </c>
      <c r="L35" s="2" t="s">
        <v>33</v>
      </c>
      <c r="M35" s="2" t="s">
        <v>95</v>
      </c>
    </row>
    <row r="36" spans="2:13" x14ac:dyDescent="0.25">
      <c r="B36">
        <v>33</v>
      </c>
      <c r="C36" t="s">
        <v>96</v>
      </c>
      <c r="E36" t="s">
        <v>97</v>
      </c>
      <c r="F36" s="4">
        <v>1124.31</v>
      </c>
      <c r="H36" s="4">
        <f t="shared" ref="H36:H67" si="2">SUM(F36:G36)</f>
        <v>1124.31</v>
      </c>
      <c r="I36" s="4">
        <v>44848884</v>
      </c>
      <c r="K36" s="4">
        <f t="shared" ref="K36:K67" si="3">SUM(I36:J36)</f>
        <v>44848884</v>
      </c>
      <c r="L36" t="s">
        <v>33</v>
      </c>
      <c r="M36" t="s">
        <v>98</v>
      </c>
    </row>
    <row r="37" spans="2:13" x14ac:dyDescent="0.25">
      <c r="B37">
        <v>34</v>
      </c>
      <c r="C37" t="s">
        <v>99</v>
      </c>
      <c r="E37" t="s">
        <v>100</v>
      </c>
      <c r="F37" s="4">
        <v>381.35</v>
      </c>
      <c r="H37" s="4">
        <f t="shared" si="2"/>
        <v>381.35</v>
      </c>
      <c r="I37" s="4">
        <v>15150258</v>
      </c>
      <c r="K37" s="4">
        <f t="shared" si="3"/>
        <v>15150258</v>
      </c>
      <c r="L37" t="s">
        <v>33</v>
      </c>
      <c r="M37" t="s">
        <v>101</v>
      </c>
    </row>
    <row r="38" spans="2:13" x14ac:dyDescent="0.25">
      <c r="B38">
        <v>35</v>
      </c>
      <c r="C38" t="s">
        <v>102</v>
      </c>
      <c r="E38" t="s">
        <v>103</v>
      </c>
      <c r="F38" s="4">
        <v>53.48</v>
      </c>
      <c r="H38" s="4">
        <f t="shared" si="2"/>
        <v>53.48</v>
      </c>
      <c r="I38" s="4">
        <v>2124651</v>
      </c>
      <c r="K38" s="4">
        <f t="shared" si="3"/>
        <v>2124651</v>
      </c>
      <c r="L38" t="s">
        <v>33</v>
      </c>
      <c r="M38" t="s">
        <v>104</v>
      </c>
    </row>
    <row r="39" spans="2:13" s="2" customFormat="1" x14ac:dyDescent="0.25">
      <c r="B39" s="2">
        <v>36</v>
      </c>
      <c r="D39" s="2" t="s">
        <v>105</v>
      </c>
      <c r="F39" s="3">
        <f>SUM(F40,F41)</f>
        <v>3157.9</v>
      </c>
      <c r="G39" s="3">
        <f>SUM(G40,G41)</f>
        <v>0</v>
      </c>
      <c r="H39" s="3">
        <f t="shared" si="2"/>
        <v>3157.9</v>
      </c>
      <c r="I39" s="3">
        <f>SUM(I40,I41)</f>
        <v>125490722</v>
      </c>
      <c r="J39" s="3">
        <f>SUM(J40,J41)</f>
        <v>0</v>
      </c>
      <c r="K39" s="3">
        <f t="shared" si="3"/>
        <v>125490722</v>
      </c>
      <c r="L39" s="2" t="s">
        <v>33</v>
      </c>
      <c r="M39" s="2" t="s">
        <v>106</v>
      </c>
    </row>
    <row r="40" spans="2:13" x14ac:dyDescent="0.25">
      <c r="B40">
        <v>37</v>
      </c>
      <c r="C40" t="s">
        <v>107</v>
      </c>
      <c r="E40" t="s">
        <v>108</v>
      </c>
      <c r="F40" s="4">
        <v>2581.3200000000002</v>
      </c>
      <c r="H40" s="4">
        <f t="shared" si="2"/>
        <v>2581.3200000000002</v>
      </c>
      <c r="I40" s="4">
        <v>102584375</v>
      </c>
      <c r="K40" s="4">
        <f t="shared" si="3"/>
        <v>102584375</v>
      </c>
      <c r="L40" t="s">
        <v>33</v>
      </c>
      <c r="M40" t="s">
        <v>109</v>
      </c>
    </row>
    <row r="41" spans="2:13" x14ac:dyDescent="0.25">
      <c r="B41">
        <v>38</v>
      </c>
      <c r="C41" t="s">
        <v>110</v>
      </c>
      <c r="E41" t="s">
        <v>111</v>
      </c>
      <c r="F41" s="4">
        <v>576.58000000000004</v>
      </c>
      <c r="H41" s="4">
        <f t="shared" si="2"/>
        <v>576.58000000000004</v>
      </c>
      <c r="I41" s="4">
        <v>22906347</v>
      </c>
      <c r="K41" s="4">
        <f t="shared" si="3"/>
        <v>22906347</v>
      </c>
      <c r="L41" t="s">
        <v>33</v>
      </c>
      <c r="M41" t="s">
        <v>112</v>
      </c>
    </row>
    <row r="42" spans="2:13" s="2" customFormat="1" x14ac:dyDescent="0.25">
      <c r="B42" s="2">
        <v>39</v>
      </c>
      <c r="D42" s="2" t="s">
        <v>113</v>
      </c>
      <c r="F42" s="3">
        <f>SUM(F43,F44,F45,F46,F47,F48,F49,F50,F51,F52,F53,F54,F55,F56,F57,F58,F59,F60,F61)</f>
        <v>17836.329999999998</v>
      </c>
      <c r="G42" s="3">
        <f>SUM(G43,G44,G45,G46,G47,G48,G49,G50,G51,G52,G53,G54,G55,G56,G57,G58,G59,G60,G61)</f>
        <v>0</v>
      </c>
      <c r="H42" s="3">
        <f t="shared" si="2"/>
        <v>17836.329999999998</v>
      </c>
      <c r="I42" s="3">
        <f>SUM(I43,I44,I45,I46,I47,I48,I49,I50,I51,I52,I53,I54,I55,I56,I57,I58,I59,I60,I61)</f>
        <v>712003480</v>
      </c>
      <c r="J42" s="3">
        <f>SUM(J43,J44,J45,J46,J47,J48,J49,J50,J51,J52,J53,J54,J55,J56,J57,J58,J59,J60,J61)</f>
        <v>0</v>
      </c>
      <c r="K42" s="3">
        <f t="shared" si="3"/>
        <v>712003480</v>
      </c>
      <c r="L42" s="2" t="s">
        <v>33</v>
      </c>
      <c r="M42" s="2" t="s">
        <v>114</v>
      </c>
    </row>
    <row r="43" spans="2:13" x14ac:dyDescent="0.25">
      <c r="B43">
        <v>40</v>
      </c>
      <c r="C43" t="s">
        <v>115</v>
      </c>
      <c r="E43" t="s">
        <v>116</v>
      </c>
      <c r="F43" s="4">
        <v>5785.5</v>
      </c>
      <c r="H43" s="4">
        <f t="shared" si="2"/>
        <v>5785.5</v>
      </c>
      <c r="I43" s="4">
        <v>229977591</v>
      </c>
      <c r="K43" s="4">
        <f t="shared" si="3"/>
        <v>229977591</v>
      </c>
      <c r="L43" t="s">
        <v>33</v>
      </c>
      <c r="M43" t="s">
        <v>117</v>
      </c>
    </row>
    <row r="44" spans="2:13" x14ac:dyDescent="0.25">
      <c r="B44">
        <v>41</v>
      </c>
      <c r="C44" t="s">
        <v>118</v>
      </c>
      <c r="E44" t="s">
        <v>119</v>
      </c>
      <c r="F44" s="4">
        <v>1579.65</v>
      </c>
      <c r="H44" s="4">
        <f t="shared" si="2"/>
        <v>1579.65</v>
      </c>
      <c r="I44" s="4">
        <v>62756272</v>
      </c>
      <c r="K44" s="4">
        <f t="shared" si="3"/>
        <v>62756272</v>
      </c>
      <c r="L44" t="s">
        <v>33</v>
      </c>
      <c r="M44" t="s">
        <v>120</v>
      </c>
    </row>
    <row r="45" spans="2:13" x14ac:dyDescent="0.25">
      <c r="B45">
        <v>42</v>
      </c>
      <c r="C45" t="s">
        <v>121</v>
      </c>
      <c r="E45" t="s">
        <v>122</v>
      </c>
      <c r="F45" s="4">
        <v>214</v>
      </c>
      <c r="H45" s="4">
        <f t="shared" si="2"/>
        <v>214</v>
      </c>
      <c r="I45" s="4">
        <v>8501783</v>
      </c>
      <c r="K45" s="4">
        <f t="shared" si="3"/>
        <v>8501783</v>
      </c>
      <c r="L45" t="s">
        <v>33</v>
      </c>
      <c r="M45" t="s">
        <v>123</v>
      </c>
    </row>
    <row r="46" spans="2:13" x14ac:dyDescent="0.25">
      <c r="B46">
        <v>43</v>
      </c>
      <c r="C46" t="s">
        <v>124</v>
      </c>
      <c r="E46" t="s">
        <v>125</v>
      </c>
      <c r="F46" s="4">
        <v>187</v>
      </c>
      <c r="H46" s="4">
        <f t="shared" si="2"/>
        <v>187</v>
      </c>
      <c r="I46" s="4">
        <v>7429129</v>
      </c>
      <c r="K46" s="4">
        <f t="shared" si="3"/>
        <v>7429129</v>
      </c>
      <c r="L46" t="s">
        <v>33</v>
      </c>
      <c r="M46" t="s">
        <v>126</v>
      </c>
    </row>
    <row r="47" spans="2:13" x14ac:dyDescent="0.25">
      <c r="B47">
        <v>44</v>
      </c>
      <c r="C47" t="s">
        <v>127</v>
      </c>
      <c r="E47" t="s">
        <v>128</v>
      </c>
      <c r="F47" s="4">
        <v>230</v>
      </c>
      <c r="H47" s="4">
        <f t="shared" si="2"/>
        <v>230</v>
      </c>
      <c r="I47" s="4">
        <v>9137431</v>
      </c>
      <c r="K47" s="4">
        <f t="shared" si="3"/>
        <v>9137431</v>
      </c>
      <c r="L47" t="s">
        <v>33</v>
      </c>
      <c r="M47" t="s">
        <v>129</v>
      </c>
    </row>
    <row r="48" spans="2:13" x14ac:dyDescent="0.25">
      <c r="B48">
        <v>45</v>
      </c>
      <c r="C48" t="s">
        <v>130</v>
      </c>
      <c r="E48" t="s">
        <v>131</v>
      </c>
      <c r="F48" s="4">
        <v>254</v>
      </c>
      <c r="H48" s="4">
        <f t="shared" si="2"/>
        <v>254</v>
      </c>
      <c r="I48" s="4">
        <v>10090902</v>
      </c>
      <c r="K48" s="4">
        <f t="shared" si="3"/>
        <v>10090902</v>
      </c>
      <c r="L48" t="s">
        <v>33</v>
      </c>
      <c r="M48" t="s">
        <v>132</v>
      </c>
    </row>
    <row r="49" spans="2:13" x14ac:dyDescent="0.25">
      <c r="B49">
        <v>46</v>
      </c>
      <c r="C49" t="s">
        <v>133</v>
      </c>
      <c r="E49" t="s">
        <v>134</v>
      </c>
      <c r="F49" s="4">
        <v>20</v>
      </c>
      <c r="H49" s="4">
        <f t="shared" si="2"/>
        <v>20</v>
      </c>
      <c r="I49" s="4">
        <v>794559</v>
      </c>
      <c r="K49" s="4">
        <f t="shared" si="3"/>
        <v>794559</v>
      </c>
      <c r="L49" t="s">
        <v>33</v>
      </c>
      <c r="M49" t="s">
        <v>135</v>
      </c>
    </row>
    <row r="50" spans="2:13" x14ac:dyDescent="0.25">
      <c r="B50">
        <v>47</v>
      </c>
      <c r="C50" t="s">
        <v>136</v>
      </c>
      <c r="E50" t="s">
        <v>137</v>
      </c>
      <c r="F50" s="4">
        <v>105</v>
      </c>
      <c r="H50" s="4">
        <f t="shared" si="2"/>
        <v>105</v>
      </c>
      <c r="I50" s="4">
        <v>4177020</v>
      </c>
      <c r="K50" s="4">
        <f t="shared" si="3"/>
        <v>4177020</v>
      </c>
      <c r="L50" t="s">
        <v>33</v>
      </c>
      <c r="M50" t="s">
        <v>138</v>
      </c>
    </row>
    <row r="51" spans="2:13" x14ac:dyDescent="0.25">
      <c r="B51">
        <v>48</v>
      </c>
      <c r="C51" t="s">
        <v>139</v>
      </c>
      <c r="E51" t="s">
        <v>140</v>
      </c>
      <c r="F51" s="4">
        <v>140.94</v>
      </c>
      <c r="H51" s="4">
        <f t="shared" si="2"/>
        <v>140.94</v>
      </c>
      <c r="I51" s="4">
        <v>5599259</v>
      </c>
      <c r="K51" s="4">
        <f t="shared" si="3"/>
        <v>5599259</v>
      </c>
      <c r="L51" t="s">
        <v>33</v>
      </c>
      <c r="M51" t="s">
        <v>141</v>
      </c>
    </row>
    <row r="52" spans="2:13" x14ac:dyDescent="0.25">
      <c r="B52">
        <v>49</v>
      </c>
      <c r="C52" t="s">
        <v>142</v>
      </c>
      <c r="E52" t="s">
        <v>143</v>
      </c>
      <c r="F52" s="4">
        <v>703.83</v>
      </c>
      <c r="H52" s="4">
        <f t="shared" si="2"/>
        <v>703.83</v>
      </c>
      <c r="I52" s="4">
        <v>27964974</v>
      </c>
      <c r="K52" s="4">
        <f t="shared" si="3"/>
        <v>27964974</v>
      </c>
      <c r="L52" t="s">
        <v>33</v>
      </c>
      <c r="M52" t="s">
        <v>144</v>
      </c>
    </row>
    <row r="53" spans="2:13" x14ac:dyDescent="0.25">
      <c r="B53">
        <v>50</v>
      </c>
      <c r="C53" t="s">
        <v>145</v>
      </c>
      <c r="E53" t="s">
        <v>146</v>
      </c>
      <c r="F53" s="4">
        <v>154</v>
      </c>
      <c r="H53" s="4">
        <f t="shared" si="2"/>
        <v>154</v>
      </c>
      <c r="I53" s="4">
        <v>6119471</v>
      </c>
      <c r="K53" s="4">
        <f t="shared" si="3"/>
        <v>6119471</v>
      </c>
      <c r="L53" t="s">
        <v>33</v>
      </c>
      <c r="M53" t="s">
        <v>147</v>
      </c>
    </row>
    <row r="54" spans="2:13" x14ac:dyDescent="0.25">
      <c r="B54">
        <v>51</v>
      </c>
      <c r="C54" t="s">
        <v>148</v>
      </c>
      <c r="E54" t="s">
        <v>149</v>
      </c>
      <c r="F54" s="4">
        <v>510</v>
      </c>
      <c r="H54" s="4">
        <f t="shared" si="2"/>
        <v>510</v>
      </c>
      <c r="I54" s="4">
        <v>20261260</v>
      </c>
      <c r="K54" s="4">
        <f t="shared" si="3"/>
        <v>20261260</v>
      </c>
      <c r="L54" t="s">
        <v>33</v>
      </c>
      <c r="M54" t="s">
        <v>150</v>
      </c>
    </row>
    <row r="55" spans="2:13" x14ac:dyDescent="0.25">
      <c r="B55">
        <v>52</v>
      </c>
      <c r="C55" t="s">
        <v>151</v>
      </c>
      <c r="E55" t="s">
        <v>152</v>
      </c>
      <c r="F55" s="4">
        <v>2403.58</v>
      </c>
      <c r="H55" s="4">
        <f t="shared" si="2"/>
        <v>2403.58</v>
      </c>
      <c r="I55" s="4">
        <v>95529129</v>
      </c>
      <c r="K55" s="4">
        <f t="shared" si="3"/>
        <v>95529129</v>
      </c>
      <c r="L55" t="s">
        <v>33</v>
      </c>
      <c r="M55" t="s">
        <v>153</v>
      </c>
    </row>
    <row r="56" spans="2:13" x14ac:dyDescent="0.25">
      <c r="B56">
        <v>53</v>
      </c>
      <c r="C56" t="s">
        <v>154</v>
      </c>
      <c r="E56" t="s">
        <v>155</v>
      </c>
      <c r="F56" s="4">
        <v>4095.71</v>
      </c>
      <c r="H56" s="4">
        <f t="shared" si="2"/>
        <v>4095.71</v>
      </c>
      <c r="I56" s="4">
        <v>165790537</v>
      </c>
      <c r="K56" s="4">
        <f t="shared" si="3"/>
        <v>165790537</v>
      </c>
      <c r="L56" t="s">
        <v>33</v>
      </c>
      <c r="M56" t="s">
        <v>156</v>
      </c>
    </row>
    <row r="57" spans="2:13" x14ac:dyDescent="0.25">
      <c r="B57">
        <v>54</v>
      </c>
      <c r="C57" t="s">
        <v>157</v>
      </c>
      <c r="E57" t="s">
        <v>158</v>
      </c>
      <c r="F57" s="4">
        <v>15.84</v>
      </c>
      <c r="H57" s="4">
        <f t="shared" si="2"/>
        <v>15.84</v>
      </c>
      <c r="I57" s="4">
        <v>632343</v>
      </c>
      <c r="K57" s="4">
        <f t="shared" si="3"/>
        <v>632343</v>
      </c>
      <c r="L57" t="s">
        <v>33</v>
      </c>
      <c r="M57" t="s">
        <v>159</v>
      </c>
    </row>
    <row r="58" spans="2:13" x14ac:dyDescent="0.25">
      <c r="B58">
        <v>55</v>
      </c>
      <c r="C58" t="s">
        <v>160</v>
      </c>
      <c r="E58" t="s">
        <v>161</v>
      </c>
      <c r="F58" s="4">
        <v>103</v>
      </c>
      <c r="H58" s="4">
        <f t="shared" si="2"/>
        <v>103</v>
      </c>
      <c r="I58" s="4">
        <v>4135130</v>
      </c>
      <c r="K58" s="4">
        <f t="shared" si="3"/>
        <v>4135130</v>
      </c>
      <c r="L58" t="s">
        <v>33</v>
      </c>
      <c r="M58" t="s">
        <v>162</v>
      </c>
    </row>
    <row r="59" spans="2:13" x14ac:dyDescent="0.25">
      <c r="B59">
        <v>56</v>
      </c>
      <c r="C59" t="s">
        <v>163</v>
      </c>
      <c r="E59" t="s">
        <v>164</v>
      </c>
      <c r="F59" s="4">
        <v>775.6400000000001</v>
      </c>
      <c r="H59" s="4">
        <f t="shared" si="2"/>
        <v>775.6400000000001</v>
      </c>
      <c r="I59" s="4">
        <v>30913062</v>
      </c>
      <c r="K59" s="4">
        <f t="shared" si="3"/>
        <v>30913062</v>
      </c>
      <c r="L59" t="s">
        <v>33</v>
      </c>
      <c r="M59" t="s">
        <v>165</v>
      </c>
    </row>
    <row r="60" spans="2:13" x14ac:dyDescent="0.25">
      <c r="B60">
        <v>57</v>
      </c>
      <c r="C60" t="s">
        <v>166</v>
      </c>
      <c r="E60" t="s">
        <v>167</v>
      </c>
      <c r="F60" s="4">
        <v>234</v>
      </c>
      <c r="H60" s="4">
        <f t="shared" si="2"/>
        <v>234</v>
      </c>
      <c r="I60" s="4">
        <v>9296343</v>
      </c>
      <c r="K60" s="4">
        <f t="shared" si="3"/>
        <v>9296343</v>
      </c>
      <c r="L60" t="s">
        <v>33</v>
      </c>
      <c r="M60" t="s">
        <v>168</v>
      </c>
    </row>
    <row r="61" spans="2:13" x14ac:dyDescent="0.25">
      <c r="B61">
        <v>58</v>
      </c>
      <c r="C61" t="s">
        <v>169</v>
      </c>
      <c r="E61" t="s">
        <v>170</v>
      </c>
      <c r="F61" s="4">
        <v>324.64</v>
      </c>
      <c r="H61" s="4">
        <f t="shared" si="2"/>
        <v>324.64</v>
      </c>
      <c r="I61" s="4">
        <v>12897285</v>
      </c>
      <c r="K61" s="4">
        <f t="shared" si="3"/>
        <v>12897285</v>
      </c>
      <c r="L61" t="s">
        <v>33</v>
      </c>
      <c r="M61" t="s">
        <v>171</v>
      </c>
    </row>
    <row r="62" spans="2:13" s="2" customFormat="1" x14ac:dyDescent="0.25">
      <c r="B62" s="2">
        <v>59</v>
      </c>
      <c r="D62" s="2" t="s">
        <v>172</v>
      </c>
      <c r="F62" s="3">
        <f>SUM(F63,F64,F65,F66,F67)</f>
        <v>244541.09000000003</v>
      </c>
      <c r="G62" s="3">
        <f>SUM(G63,G64,G65,G66,G67)</f>
        <v>0</v>
      </c>
      <c r="H62" s="3">
        <f t="shared" si="2"/>
        <v>244541.09000000003</v>
      </c>
      <c r="I62" s="3">
        <f>SUM(I63,I64,I65,I66,I67)</f>
        <v>9731387313</v>
      </c>
      <c r="J62" s="3">
        <f>SUM(J63,J64,J65,J66,J67)</f>
        <v>0</v>
      </c>
      <c r="K62" s="3">
        <f t="shared" si="3"/>
        <v>9731387313</v>
      </c>
      <c r="L62" s="2" t="s">
        <v>33</v>
      </c>
      <c r="M62" s="2" t="s">
        <v>173</v>
      </c>
    </row>
    <row r="63" spans="2:13" x14ac:dyDescent="0.25">
      <c r="B63">
        <v>60</v>
      </c>
      <c r="C63" t="s">
        <v>174</v>
      </c>
      <c r="E63" t="s">
        <v>175</v>
      </c>
      <c r="F63" s="4">
        <v>245594.88</v>
      </c>
      <c r="H63" s="4">
        <f t="shared" si="2"/>
        <v>245594.88</v>
      </c>
      <c r="I63" s="4">
        <v>9771507490</v>
      </c>
      <c r="K63" s="4">
        <f t="shared" si="3"/>
        <v>9771507490</v>
      </c>
      <c r="L63" t="s">
        <v>33</v>
      </c>
      <c r="M63" t="s">
        <v>176</v>
      </c>
    </row>
    <row r="64" spans="2:13" x14ac:dyDescent="0.25">
      <c r="B64">
        <v>61</v>
      </c>
      <c r="C64" t="s">
        <v>177</v>
      </c>
      <c r="E64" t="s">
        <v>178</v>
      </c>
      <c r="F64" s="4">
        <v>-5702.33</v>
      </c>
      <c r="H64" s="4">
        <f t="shared" si="2"/>
        <v>-5702.33</v>
      </c>
      <c r="I64" s="4">
        <v>-226831040</v>
      </c>
      <c r="K64" s="4">
        <f t="shared" si="3"/>
        <v>-226831040</v>
      </c>
      <c r="L64" t="s">
        <v>33</v>
      </c>
      <c r="M64" t="s">
        <v>179</v>
      </c>
    </row>
    <row r="65" spans="2:13" x14ac:dyDescent="0.25">
      <c r="B65">
        <v>62</v>
      </c>
      <c r="C65" t="s">
        <v>180</v>
      </c>
      <c r="E65" t="s">
        <v>181</v>
      </c>
      <c r="F65" s="4">
        <v>2856.7</v>
      </c>
      <c r="H65" s="4">
        <f t="shared" si="2"/>
        <v>2856.7</v>
      </c>
      <c r="I65" s="4">
        <v>115524715</v>
      </c>
      <c r="K65" s="4">
        <f t="shared" si="3"/>
        <v>115524715</v>
      </c>
      <c r="L65" t="s">
        <v>33</v>
      </c>
      <c r="M65" t="s">
        <v>182</v>
      </c>
    </row>
    <row r="66" spans="2:13" x14ac:dyDescent="0.25">
      <c r="B66">
        <v>63</v>
      </c>
      <c r="C66" t="s">
        <v>183</v>
      </c>
      <c r="E66" t="s">
        <v>184</v>
      </c>
      <c r="F66" s="4">
        <v>95.16</v>
      </c>
      <c r="H66" s="4">
        <f t="shared" si="2"/>
        <v>95.16</v>
      </c>
      <c r="I66" s="4">
        <v>3780513</v>
      </c>
      <c r="K66" s="4">
        <f t="shared" si="3"/>
        <v>3780513</v>
      </c>
      <c r="L66" t="s">
        <v>33</v>
      </c>
      <c r="M66" t="s">
        <v>185</v>
      </c>
    </row>
    <row r="67" spans="2:13" x14ac:dyDescent="0.25">
      <c r="B67">
        <v>64</v>
      </c>
      <c r="C67" t="s">
        <v>186</v>
      </c>
      <c r="E67" t="s">
        <v>187</v>
      </c>
      <c r="F67" s="4">
        <v>1696.68</v>
      </c>
      <c r="H67" s="4">
        <f t="shared" si="2"/>
        <v>1696.68</v>
      </c>
      <c r="I67" s="4">
        <v>67405635</v>
      </c>
      <c r="K67" s="4">
        <f t="shared" si="3"/>
        <v>67405635</v>
      </c>
      <c r="L67" t="s">
        <v>33</v>
      </c>
      <c r="M67" t="s">
        <v>188</v>
      </c>
    </row>
    <row r="68" spans="2:13" s="2" customFormat="1" x14ac:dyDescent="0.25">
      <c r="B68" s="2">
        <v>65</v>
      </c>
      <c r="D68" s="2" t="s">
        <v>189</v>
      </c>
      <c r="F68" s="3">
        <v>0</v>
      </c>
      <c r="H68" s="3">
        <f t="shared" ref="H68:H99" si="4">SUM(F68:G68)</f>
        <v>0</v>
      </c>
      <c r="I68" s="3">
        <v>0</v>
      </c>
      <c r="K68" s="3">
        <f t="shared" ref="K68:K99" si="5">SUM(I68:J68)</f>
        <v>0</v>
      </c>
      <c r="L68" s="2" t="s">
        <v>33</v>
      </c>
      <c r="M68" s="2" t="s">
        <v>190</v>
      </c>
    </row>
    <row r="69" spans="2:13" s="2" customFormat="1" x14ac:dyDescent="0.25">
      <c r="B69" s="2">
        <v>66</v>
      </c>
      <c r="D69" s="2" t="s">
        <v>191</v>
      </c>
      <c r="F69" s="3">
        <v>0</v>
      </c>
      <c r="H69" s="3">
        <f t="shared" si="4"/>
        <v>0</v>
      </c>
      <c r="I69" s="3">
        <v>0</v>
      </c>
      <c r="K69" s="3">
        <f t="shared" si="5"/>
        <v>0</v>
      </c>
      <c r="L69" s="2" t="s">
        <v>33</v>
      </c>
      <c r="M69" s="2" t="s">
        <v>192</v>
      </c>
    </row>
    <row r="70" spans="2:13" s="2" customFormat="1" x14ac:dyDescent="0.25">
      <c r="B70" s="2">
        <v>67</v>
      </c>
      <c r="D70" s="2" t="s">
        <v>193</v>
      </c>
      <c r="F70" s="3">
        <v>0</v>
      </c>
      <c r="H70" s="3">
        <f t="shared" si="4"/>
        <v>0</v>
      </c>
      <c r="I70" s="3">
        <v>0</v>
      </c>
      <c r="K70" s="3">
        <f t="shared" si="5"/>
        <v>0</v>
      </c>
      <c r="L70" s="2" t="s">
        <v>33</v>
      </c>
      <c r="M70" s="2" t="s">
        <v>194</v>
      </c>
    </row>
    <row r="71" spans="2:13" s="2" customFormat="1" x14ac:dyDescent="0.25">
      <c r="B71" s="2">
        <v>68</v>
      </c>
      <c r="D71" s="2" t="s">
        <v>195</v>
      </c>
      <c r="F71" s="3">
        <v>91128.59</v>
      </c>
      <c r="H71" s="3">
        <f t="shared" si="4"/>
        <v>91128.59</v>
      </c>
      <c r="I71" s="3">
        <v>3625366981</v>
      </c>
      <c r="K71" s="3">
        <f t="shared" si="5"/>
        <v>3625366981</v>
      </c>
      <c r="L71" s="2" t="s">
        <v>33</v>
      </c>
      <c r="M71" s="2" t="s">
        <v>196</v>
      </c>
    </row>
    <row r="72" spans="2:13" s="2" customFormat="1" x14ac:dyDescent="0.25">
      <c r="B72" s="2">
        <v>69</v>
      </c>
      <c r="D72" s="2" t="s">
        <v>197</v>
      </c>
      <c r="F72" s="3">
        <f>SUM(F73,F74,F75,F76,F77,F78)</f>
        <v>4933.6100000000006</v>
      </c>
      <c r="G72" s="3">
        <f>SUM(G73,G74,G75,G76,G77,G78)</f>
        <v>0</v>
      </c>
      <c r="H72" s="3">
        <f t="shared" si="4"/>
        <v>4933.6100000000006</v>
      </c>
      <c r="I72" s="3">
        <f>SUM(I73,I74,I75,I76,I77,I78)</f>
        <v>196505641</v>
      </c>
      <c r="J72" s="3">
        <f>SUM(J73,J74,J75,J76,J77,J78)</f>
        <v>0</v>
      </c>
      <c r="K72" s="3">
        <f t="shared" si="5"/>
        <v>196505641</v>
      </c>
      <c r="L72" s="2" t="s">
        <v>33</v>
      </c>
      <c r="M72" s="2" t="s">
        <v>198</v>
      </c>
    </row>
    <row r="73" spans="2:13" x14ac:dyDescent="0.25">
      <c r="B73">
        <v>70</v>
      </c>
      <c r="C73" t="s">
        <v>199</v>
      </c>
      <c r="E73" t="s">
        <v>200</v>
      </c>
      <c r="F73" s="4">
        <v>2846.5500000000011</v>
      </c>
      <c r="H73" s="4">
        <f t="shared" si="4"/>
        <v>2846.5500000000011</v>
      </c>
      <c r="I73" s="4">
        <v>113583842</v>
      </c>
      <c r="K73" s="4">
        <f t="shared" si="5"/>
        <v>113583842</v>
      </c>
      <c r="L73" t="s">
        <v>33</v>
      </c>
      <c r="M73" t="s">
        <v>201</v>
      </c>
    </row>
    <row r="74" spans="2:13" x14ac:dyDescent="0.25">
      <c r="B74">
        <v>71</v>
      </c>
      <c r="C74" t="s">
        <v>202</v>
      </c>
      <c r="E74" t="s">
        <v>203</v>
      </c>
      <c r="F74" s="4">
        <v>1151.1199999999999</v>
      </c>
      <c r="H74" s="4">
        <f t="shared" si="4"/>
        <v>1151.1199999999999</v>
      </c>
      <c r="I74" s="4">
        <v>45732617</v>
      </c>
      <c r="K74" s="4">
        <f t="shared" si="5"/>
        <v>45732617</v>
      </c>
      <c r="L74" t="s">
        <v>33</v>
      </c>
      <c r="M74" t="s">
        <v>204</v>
      </c>
    </row>
    <row r="75" spans="2:13" x14ac:dyDescent="0.25">
      <c r="B75">
        <v>72</v>
      </c>
      <c r="C75" t="s">
        <v>205</v>
      </c>
      <c r="E75" t="s">
        <v>206</v>
      </c>
      <c r="F75" s="4">
        <v>65.930000000000007</v>
      </c>
      <c r="H75" s="4">
        <f t="shared" si="4"/>
        <v>65.930000000000007</v>
      </c>
      <c r="I75" s="4">
        <v>2619264</v>
      </c>
      <c r="K75" s="4">
        <f t="shared" si="5"/>
        <v>2619264</v>
      </c>
      <c r="L75" t="s">
        <v>33</v>
      </c>
      <c r="M75" t="s">
        <v>207</v>
      </c>
    </row>
    <row r="76" spans="2:13" x14ac:dyDescent="0.25">
      <c r="B76">
        <v>73</v>
      </c>
      <c r="C76" t="s">
        <v>208</v>
      </c>
      <c r="E76" t="s">
        <v>209</v>
      </c>
      <c r="F76" s="4">
        <v>785.06000000000006</v>
      </c>
      <c r="H76" s="4">
        <f t="shared" si="4"/>
        <v>785.06000000000006</v>
      </c>
      <c r="I76" s="4">
        <v>31195027</v>
      </c>
      <c r="K76" s="4">
        <f t="shared" si="5"/>
        <v>31195027</v>
      </c>
      <c r="L76" t="s">
        <v>33</v>
      </c>
      <c r="M76" t="s">
        <v>210</v>
      </c>
    </row>
    <row r="77" spans="2:13" x14ac:dyDescent="0.25">
      <c r="B77">
        <v>74</v>
      </c>
      <c r="C77" t="s">
        <v>211</v>
      </c>
      <c r="E77" t="s">
        <v>212</v>
      </c>
      <c r="F77" s="4">
        <v>33</v>
      </c>
      <c r="H77" s="4">
        <f t="shared" si="4"/>
        <v>33</v>
      </c>
      <c r="I77" s="4">
        <v>1311023</v>
      </c>
      <c r="K77" s="4">
        <f t="shared" si="5"/>
        <v>1311023</v>
      </c>
      <c r="L77" t="s">
        <v>33</v>
      </c>
      <c r="M77" t="s">
        <v>213</v>
      </c>
    </row>
    <row r="78" spans="2:13" x14ac:dyDescent="0.25">
      <c r="B78">
        <v>75</v>
      </c>
      <c r="C78" t="s">
        <v>214</v>
      </c>
      <c r="E78" t="s">
        <v>215</v>
      </c>
      <c r="F78" s="4">
        <v>51.95</v>
      </c>
      <c r="H78" s="4">
        <f t="shared" si="4"/>
        <v>51.95</v>
      </c>
      <c r="I78" s="4">
        <v>2063868</v>
      </c>
      <c r="K78" s="4">
        <f t="shared" si="5"/>
        <v>2063868</v>
      </c>
      <c r="L78" t="s">
        <v>33</v>
      </c>
      <c r="M78" t="s">
        <v>216</v>
      </c>
    </row>
    <row r="79" spans="2:13" s="2" customFormat="1" x14ac:dyDescent="0.25">
      <c r="B79" s="2">
        <v>76</v>
      </c>
      <c r="D79" s="2" t="s">
        <v>217</v>
      </c>
      <c r="F79" s="3">
        <f>SUM(F80,F81,F82,F83,F84,F85,F86,F87)</f>
        <v>3783.5699999999997</v>
      </c>
      <c r="G79" s="3">
        <f>SUM(G80,G81,G82,G83,G84,G85,G86,G87)</f>
        <v>0</v>
      </c>
      <c r="H79" s="3">
        <f t="shared" si="4"/>
        <v>3783.5699999999997</v>
      </c>
      <c r="I79" s="3">
        <f>SUM(I80,I81,I82,I83,I84,I85,I86,I87)</f>
        <v>150542855</v>
      </c>
      <c r="J79" s="3">
        <f>SUM(J80,J81,J82,J83,J84,J85,J86,J87)</f>
        <v>0</v>
      </c>
      <c r="K79" s="3">
        <f t="shared" si="5"/>
        <v>150542855</v>
      </c>
      <c r="L79" s="2" t="s">
        <v>33</v>
      </c>
      <c r="M79" s="2" t="s">
        <v>218</v>
      </c>
    </row>
    <row r="80" spans="2:13" x14ac:dyDescent="0.25">
      <c r="B80">
        <v>77</v>
      </c>
      <c r="C80" t="s">
        <v>219</v>
      </c>
      <c r="E80" t="s">
        <v>220</v>
      </c>
      <c r="F80" s="4">
        <v>1390.82</v>
      </c>
      <c r="H80" s="4">
        <f t="shared" si="4"/>
        <v>1390.82</v>
      </c>
      <c r="I80" s="4">
        <v>55254441</v>
      </c>
      <c r="K80" s="4">
        <f t="shared" si="5"/>
        <v>55254441</v>
      </c>
      <c r="L80" t="s">
        <v>33</v>
      </c>
      <c r="M80" t="s">
        <v>221</v>
      </c>
    </row>
    <row r="81" spans="2:13" x14ac:dyDescent="0.25">
      <c r="B81">
        <v>78</v>
      </c>
      <c r="C81" t="s">
        <v>222</v>
      </c>
      <c r="E81" t="s">
        <v>223</v>
      </c>
      <c r="F81" s="4">
        <v>846.22</v>
      </c>
      <c r="H81" s="4">
        <f t="shared" si="4"/>
        <v>846.22</v>
      </c>
      <c r="I81" s="4">
        <v>33618594</v>
      </c>
      <c r="K81" s="4">
        <f t="shared" si="5"/>
        <v>33618594</v>
      </c>
      <c r="L81" t="s">
        <v>33</v>
      </c>
      <c r="M81" t="s">
        <v>224</v>
      </c>
    </row>
    <row r="82" spans="2:13" x14ac:dyDescent="0.25">
      <c r="B82">
        <v>79</v>
      </c>
      <c r="C82" t="s">
        <v>225</v>
      </c>
      <c r="E82" t="s">
        <v>226</v>
      </c>
      <c r="F82" s="4">
        <v>199.37</v>
      </c>
      <c r="H82" s="4">
        <f t="shared" si="4"/>
        <v>199.37</v>
      </c>
      <c r="I82" s="4">
        <v>7987205</v>
      </c>
      <c r="K82" s="4">
        <f t="shared" si="5"/>
        <v>7987205</v>
      </c>
      <c r="L82" t="s">
        <v>33</v>
      </c>
      <c r="M82" t="s">
        <v>227</v>
      </c>
    </row>
    <row r="83" spans="2:13" x14ac:dyDescent="0.25">
      <c r="B83">
        <v>80</v>
      </c>
      <c r="C83" t="s">
        <v>228</v>
      </c>
      <c r="E83" t="s">
        <v>229</v>
      </c>
      <c r="F83" s="4">
        <v>0.59</v>
      </c>
      <c r="H83" s="4">
        <f t="shared" si="4"/>
        <v>0.59</v>
      </c>
      <c r="I83" s="4">
        <v>23439</v>
      </c>
      <c r="K83" s="4">
        <f t="shared" si="5"/>
        <v>23439</v>
      </c>
      <c r="L83" t="s">
        <v>33</v>
      </c>
      <c r="M83" t="s">
        <v>230</v>
      </c>
    </row>
    <row r="84" spans="2:13" x14ac:dyDescent="0.25">
      <c r="B84">
        <v>81</v>
      </c>
      <c r="C84" t="s">
        <v>231</v>
      </c>
      <c r="E84" t="s">
        <v>232</v>
      </c>
      <c r="F84" s="4">
        <v>61</v>
      </c>
      <c r="H84" s="4">
        <f t="shared" si="4"/>
        <v>61</v>
      </c>
      <c r="I84" s="4">
        <v>2423406</v>
      </c>
      <c r="K84" s="4">
        <f t="shared" si="5"/>
        <v>2423406</v>
      </c>
      <c r="L84" t="s">
        <v>33</v>
      </c>
      <c r="M84" t="s">
        <v>233</v>
      </c>
    </row>
    <row r="85" spans="2:13" x14ac:dyDescent="0.25">
      <c r="B85">
        <v>82</v>
      </c>
      <c r="C85" t="s">
        <v>234</v>
      </c>
      <c r="E85" t="s">
        <v>235</v>
      </c>
      <c r="F85" s="4">
        <v>831.54999999999984</v>
      </c>
      <c r="H85" s="4">
        <f t="shared" si="4"/>
        <v>831.54999999999984</v>
      </c>
      <c r="I85" s="4">
        <v>33167847</v>
      </c>
      <c r="K85" s="4">
        <f t="shared" si="5"/>
        <v>33167847</v>
      </c>
      <c r="L85" t="s">
        <v>33</v>
      </c>
      <c r="M85" t="s">
        <v>236</v>
      </c>
    </row>
    <row r="86" spans="2:13" x14ac:dyDescent="0.25">
      <c r="B86">
        <v>83</v>
      </c>
      <c r="C86" t="s">
        <v>237</v>
      </c>
      <c r="E86" t="s">
        <v>238</v>
      </c>
      <c r="F86" s="4">
        <v>398.31</v>
      </c>
      <c r="H86" s="4">
        <f t="shared" si="4"/>
        <v>398.31</v>
      </c>
      <c r="I86" s="4">
        <v>15850593</v>
      </c>
      <c r="K86" s="4">
        <f t="shared" si="5"/>
        <v>15850593</v>
      </c>
      <c r="L86" t="s">
        <v>33</v>
      </c>
      <c r="M86" t="s">
        <v>239</v>
      </c>
    </row>
    <row r="87" spans="2:13" x14ac:dyDescent="0.25">
      <c r="B87">
        <v>84</v>
      </c>
      <c r="C87" t="s">
        <v>240</v>
      </c>
      <c r="E87" t="s">
        <v>241</v>
      </c>
      <c r="F87" s="4">
        <v>55.71</v>
      </c>
      <c r="H87" s="4">
        <f t="shared" si="4"/>
        <v>55.71</v>
      </c>
      <c r="I87" s="4">
        <v>2217330</v>
      </c>
      <c r="K87" s="4">
        <f t="shared" si="5"/>
        <v>2217330</v>
      </c>
      <c r="L87" t="s">
        <v>33</v>
      </c>
      <c r="M87" t="s">
        <v>242</v>
      </c>
    </row>
    <row r="88" spans="2:13" s="2" customFormat="1" x14ac:dyDescent="0.25">
      <c r="B88" s="2">
        <v>85</v>
      </c>
      <c r="D88" s="2" t="s">
        <v>243</v>
      </c>
      <c r="F88" s="3">
        <f>SUM(F89)</f>
        <v>2389.1799999999998</v>
      </c>
      <c r="G88" s="3">
        <f>SUM(G89)</f>
        <v>0</v>
      </c>
      <c r="H88" s="3">
        <f t="shared" si="4"/>
        <v>2389.1799999999998</v>
      </c>
      <c r="I88" s="3">
        <f>SUM(I89)</f>
        <v>95292310</v>
      </c>
      <c r="J88" s="3">
        <f>SUM(J89)</f>
        <v>0</v>
      </c>
      <c r="K88" s="3">
        <f t="shared" si="5"/>
        <v>95292310</v>
      </c>
      <c r="L88" s="2" t="s">
        <v>33</v>
      </c>
      <c r="M88" s="2" t="s">
        <v>244</v>
      </c>
    </row>
    <row r="89" spans="2:13" x14ac:dyDescent="0.25">
      <c r="B89">
        <v>86</v>
      </c>
      <c r="C89" t="s">
        <v>245</v>
      </c>
      <c r="E89" t="s">
        <v>246</v>
      </c>
      <c r="F89" s="4">
        <v>2389.1799999999998</v>
      </c>
      <c r="H89" s="4">
        <f t="shared" si="4"/>
        <v>2389.1799999999998</v>
      </c>
      <c r="I89" s="4">
        <v>95292310</v>
      </c>
      <c r="K89" s="4">
        <f t="shared" si="5"/>
        <v>95292310</v>
      </c>
      <c r="L89" t="s">
        <v>33</v>
      </c>
      <c r="M89" t="s">
        <v>247</v>
      </c>
    </row>
    <row r="90" spans="2:13" s="2" customFormat="1" x14ac:dyDescent="0.25">
      <c r="B90" s="2">
        <v>87</v>
      </c>
      <c r="D90" s="2" t="s">
        <v>248</v>
      </c>
      <c r="F90" s="3">
        <f>SUM(F91)</f>
        <v>16360</v>
      </c>
      <c r="G90" s="3">
        <f>SUM(G91)</f>
        <v>0</v>
      </c>
      <c r="H90" s="3">
        <f t="shared" si="4"/>
        <v>16360</v>
      </c>
      <c r="I90" s="3">
        <f>SUM(I91)</f>
        <v>651510665</v>
      </c>
      <c r="J90" s="3">
        <f>SUM(J91)</f>
        <v>0</v>
      </c>
      <c r="K90" s="3">
        <f t="shared" si="5"/>
        <v>651510665</v>
      </c>
      <c r="L90" s="2" t="s">
        <v>33</v>
      </c>
      <c r="M90" s="2" t="s">
        <v>249</v>
      </c>
    </row>
    <row r="91" spans="2:13" x14ac:dyDescent="0.25">
      <c r="B91">
        <v>88</v>
      </c>
      <c r="C91" t="s">
        <v>250</v>
      </c>
      <c r="E91" t="s">
        <v>251</v>
      </c>
      <c r="F91" s="4">
        <v>16360</v>
      </c>
      <c r="H91" s="4">
        <f t="shared" si="4"/>
        <v>16360</v>
      </c>
      <c r="I91" s="4">
        <v>651510665</v>
      </c>
      <c r="K91" s="4">
        <f t="shared" si="5"/>
        <v>651510665</v>
      </c>
      <c r="L91" t="s">
        <v>33</v>
      </c>
      <c r="M91" t="s">
        <v>252</v>
      </c>
    </row>
    <row r="92" spans="2:13" s="2" customFormat="1" x14ac:dyDescent="0.25">
      <c r="B92" s="2">
        <v>89</v>
      </c>
      <c r="D92" s="2" t="s">
        <v>253</v>
      </c>
      <c r="F92" s="3">
        <v>0</v>
      </c>
      <c r="H92" s="3">
        <f t="shared" si="4"/>
        <v>0</v>
      </c>
      <c r="I92" s="3">
        <v>0</v>
      </c>
      <c r="K92" s="3">
        <f t="shared" si="5"/>
        <v>0</v>
      </c>
      <c r="L92" s="2" t="s">
        <v>33</v>
      </c>
      <c r="M92" s="2" t="s">
        <v>254</v>
      </c>
    </row>
    <row r="93" spans="2:13" s="2" customFormat="1" x14ac:dyDescent="0.25">
      <c r="B93" s="2">
        <v>90</v>
      </c>
      <c r="D93" s="2" t="s">
        <v>255</v>
      </c>
      <c r="F93" s="3">
        <f>SUM(F94,F95,F96,F97,F98,F99,F100)</f>
        <v>62475.649999999994</v>
      </c>
      <c r="G93" s="3">
        <f>SUM(G94,G95,G96,G97,G98,G99,G100)</f>
        <v>0</v>
      </c>
      <c r="H93" s="3">
        <f t="shared" si="4"/>
        <v>62475.649999999994</v>
      </c>
      <c r="I93" s="3">
        <f>SUM(I94,I95,I96,I97,I98,I99,I100)</f>
        <v>2484228808</v>
      </c>
      <c r="J93" s="3">
        <f>SUM(J94,J95,J96,J97,J98,J99,J100)</f>
        <v>0</v>
      </c>
      <c r="K93" s="3">
        <f t="shared" si="5"/>
        <v>2484228808</v>
      </c>
      <c r="L93" s="2" t="s">
        <v>33</v>
      </c>
      <c r="M93" s="2" t="s">
        <v>256</v>
      </c>
    </row>
    <row r="94" spans="2:13" x14ac:dyDescent="0.25">
      <c r="B94">
        <v>91</v>
      </c>
      <c r="C94" t="s">
        <v>257</v>
      </c>
      <c r="E94" t="s">
        <v>258</v>
      </c>
      <c r="F94" s="4">
        <v>166.54</v>
      </c>
      <c r="H94" s="4">
        <f t="shared" si="4"/>
        <v>166.54</v>
      </c>
      <c r="I94" s="4">
        <v>6618144</v>
      </c>
      <c r="K94" s="4">
        <f t="shared" si="5"/>
        <v>6618144</v>
      </c>
      <c r="L94" t="s">
        <v>33</v>
      </c>
      <c r="M94" t="s">
        <v>259</v>
      </c>
    </row>
    <row r="95" spans="2:13" x14ac:dyDescent="0.25">
      <c r="B95">
        <v>92</v>
      </c>
      <c r="C95" t="s">
        <v>260</v>
      </c>
      <c r="E95" t="s">
        <v>261</v>
      </c>
      <c r="F95" s="4">
        <v>4059.8799999999992</v>
      </c>
      <c r="H95" s="4">
        <f t="shared" si="4"/>
        <v>4059.8799999999992</v>
      </c>
      <c r="I95" s="4">
        <v>161416844</v>
      </c>
      <c r="K95" s="4">
        <f t="shared" si="5"/>
        <v>161416844</v>
      </c>
      <c r="L95" t="s">
        <v>33</v>
      </c>
      <c r="M95" t="s">
        <v>262</v>
      </c>
    </row>
    <row r="96" spans="2:13" x14ac:dyDescent="0.25">
      <c r="B96">
        <v>93</v>
      </c>
      <c r="C96" t="s">
        <v>263</v>
      </c>
      <c r="E96" t="s">
        <v>264</v>
      </c>
      <c r="F96" s="4">
        <v>496.50999999999988</v>
      </c>
      <c r="H96" s="4">
        <f t="shared" si="4"/>
        <v>496.50999999999988</v>
      </c>
      <c r="I96" s="4">
        <v>19763791</v>
      </c>
      <c r="K96" s="4">
        <f t="shared" si="5"/>
        <v>19763791</v>
      </c>
      <c r="L96" t="s">
        <v>33</v>
      </c>
      <c r="M96" t="s">
        <v>265</v>
      </c>
    </row>
    <row r="97" spans="2:13" x14ac:dyDescent="0.25">
      <c r="B97">
        <v>94</v>
      </c>
      <c r="C97" t="s">
        <v>266</v>
      </c>
      <c r="E97" t="s">
        <v>267</v>
      </c>
      <c r="F97" s="4">
        <v>439.71</v>
      </c>
      <c r="H97" s="4">
        <f t="shared" si="4"/>
        <v>439.71</v>
      </c>
      <c r="I97" s="4">
        <v>17604147</v>
      </c>
      <c r="K97" s="4">
        <f t="shared" si="5"/>
        <v>17604147</v>
      </c>
      <c r="L97" t="s">
        <v>33</v>
      </c>
      <c r="M97" t="s">
        <v>268</v>
      </c>
    </row>
    <row r="98" spans="2:13" x14ac:dyDescent="0.25">
      <c r="B98">
        <v>95</v>
      </c>
      <c r="C98" t="s">
        <v>269</v>
      </c>
      <c r="E98" t="s">
        <v>270</v>
      </c>
      <c r="F98" s="4">
        <v>13192.8</v>
      </c>
      <c r="H98" s="4">
        <f t="shared" si="4"/>
        <v>13192.8</v>
      </c>
      <c r="I98" s="4">
        <v>524235433</v>
      </c>
      <c r="K98" s="4">
        <f t="shared" si="5"/>
        <v>524235433</v>
      </c>
      <c r="L98" t="s">
        <v>33</v>
      </c>
      <c r="M98" t="s">
        <v>271</v>
      </c>
    </row>
    <row r="99" spans="2:13" x14ac:dyDescent="0.25">
      <c r="B99">
        <v>96</v>
      </c>
      <c r="C99" t="s">
        <v>272</v>
      </c>
      <c r="E99" t="s">
        <v>273</v>
      </c>
      <c r="F99" s="4">
        <v>40856.04</v>
      </c>
      <c r="H99" s="4">
        <f t="shared" si="4"/>
        <v>40856.04</v>
      </c>
      <c r="I99" s="4">
        <v>1623127123</v>
      </c>
      <c r="K99" s="4">
        <f t="shared" si="5"/>
        <v>1623127123</v>
      </c>
      <c r="L99" t="s">
        <v>33</v>
      </c>
      <c r="M99" t="s">
        <v>274</v>
      </c>
    </row>
    <row r="100" spans="2:13" x14ac:dyDescent="0.25">
      <c r="B100">
        <v>97</v>
      </c>
      <c r="C100" t="s">
        <v>275</v>
      </c>
      <c r="E100" t="s">
        <v>276</v>
      </c>
      <c r="F100" s="4">
        <v>3264.17</v>
      </c>
      <c r="H100" s="4">
        <f t="shared" ref="H100:H131" si="6">SUM(F100:G100)</f>
        <v>3264.17</v>
      </c>
      <c r="I100" s="4">
        <v>131463326</v>
      </c>
      <c r="K100" s="4">
        <f t="shared" ref="K100:K131" si="7">SUM(I100:J100)</f>
        <v>131463326</v>
      </c>
      <c r="L100" t="s">
        <v>33</v>
      </c>
      <c r="M100" t="s">
        <v>277</v>
      </c>
    </row>
    <row r="101" spans="2:13" s="2" customFormat="1" x14ac:dyDescent="0.25">
      <c r="B101" s="2">
        <v>98</v>
      </c>
      <c r="D101" s="2" t="s">
        <v>278</v>
      </c>
      <c r="F101" s="3">
        <f>SUM(F102,F103,F104)</f>
        <v>1186.5800000000002</v>
      </c>
      <c r="G101" s="3">
        <f>SUM(G102,G103,G104)</f>
        <v>0</v>
      </c>
      <c r="H101" s="3">
        <f t="shared" si="6"/>
        <v>1186.5800000000002</v>
      </c>
      <c r="I101" s="3">
        <f>SUM(I102,I103,I104)</f>
        <v>47286702</v>
      </c>
      <c r="J101" s="3">
        <f>SUM(J102,J103,J104)</f>
        <v>0</v>
      </c>
      <c r="K101" s="3">
        <f t="shared" si="7"/>
        <v>47286702</v>
      </c>
      <c r="L101" s="2" t="s">
        <v>33</v>
      </c>
      <c r="M101" s="2" t="s">
        <v>279</v>
      </c>
    </row>
    <row r="102" spans="2:13" x14ac:dyDescent="0.25">
      <c r="B102">
        <v>99</v>
      </c>
      <c r="C102" t="s">
        <v>280</v>
      </c>
      <c r="E102" t="s">
        <v>281</v>
      </c>
      <c r="F102" s="4">
        <v>293.84000000000009</v>
      </c>
      <c r="H102" s="4">
        <f t="shared" si="6"/>
        <v>293.84000000000009</v>
      </c>
      <c r="I102" s="4">
        <v>11722174</v>
      </c>
      <c r="K102" s="4">
        <f t="shared" si="7"/>
        <v>11722174</v>
      </c>
      <c r="L102" t="s">
        <v>33</v>
      </c>
      <c r="M102" t="s">
        <v>282</v>
      </c>
    </row>
    <row r="103" spans="2:13" x14ac:dyDescent="0.25">
      <c r="B103">
        <v>100</v>
      </c>
      <c r="C103" t="s">
        <v>283</v>
      </c>
      <c r="E103" t="s">
        <v>284</v>
      </c>
      <c r="F103" s="4">
        <v>86.740000000000009</v>
      </c>
      <c r="H103" s="4">
        <f t="shared" si="6"/>
        <v>86.740000000000009</v>
      </c>
      <c r="I103" s="4">
        <v>3455499</v>
      </c>
      <c r="K103" s="4">
        <f t="shared" si="7"/>
        <v>3455499</v>
      </c>
      <c r="L103" t="s">
        <v>33</v>
      </c>
      <c r="M103" t="s">
        <v>285</v>
      </c>
    </row>
    <row r="104" spans="2:13" x14ac:dyDescent="0.25">
      <c r="B104">
        <v>101</v>
      </c>
      <c r="C104" t="s">
        <v>286</v>
      </c>
      <c r="E104" t="s">
        <v>287</v>
      </c>
      <c r="F104" s="4">
        <v>806</v>
      </c>
      <c r="H104" s="4">
        <f t="shared" si="6"/>
        <v>806</v>
      </c>
      <c r="I104" s="4">
        <v>32109029</v>
      </c>
      <c r="K104" s="4">
        <f t="shared" si="7"/>
        <v>32109029</v>
      </c>
      <c r="L104" t="s">
        <v>33</v>
      </c>
      <c r="M104" t="s">
        <v>288</v>
      </c>
    </row>
    <row r="105" spans="2:13" s="2" customFormat="1" x14ac:dyDescent="0.25">
      <c r="B105" s="2">
        <v>102</v>
      </c>
      <c r="D105" s="2" t="s">
        <v>189</v>
      </c>
      <c r="F105" s="3">
        <v>0</v>
      </c>
      <c r="H105" s="3">
        <f t="shared" si="6"/>
        <v>0</v>
      </c>
      <c r="I105" s="3">
        <v>0</v>
      </c>
      <c r="K105" s="3">
        <f t="shared" si="7"/>
        <v>0</v>
      </c>
      <c r="L105" s="2" t="s">
        <v>27</v>
      </c>
      <c r="M105" s="2" t="s">
        <v>289</v>
      </c>
    </row>
    <row r="106" spans="2:13" s="2" customFormat="1" x14ac:dyDescent="0.25">
      <c r="B106" s="2">
        <v>103</v>
      </c>
      <c r="D106" s="2" t="s">
        <v>290</v>
      </c>
      <c r="F106" s="3">
        <v>0</v>
      </c>
      <c r="H106" s="3">
        <f t="shared" si="6"/>
        <v>0</v>
      </c>
      <c r="I106" s="3">
        <v>0</v>
      </c>
      <c r="K106" s="3">
        <f t="shared" si="7"/>
        <v>0</v>
      </c>
      <c r="L106" s="2" t="s">
        <v>33</v>
      </c>
      <c r="M106" s="2" t="s">
        <v>291</v>
      </c>
    </row>
    <row r="107" spans="2:13" s="2" customFormat="1" x14ac:dyDescent="0.25">
      <c r="B107" s="2">
        <v>104</v>
      </c>
      <c r="D107" s="2" t="s">
        <v>292</v>
      </c>
      <c r="F107" s="3">
        <v>0</v>
      </c>
      <c r="H107" s="3">
        <f t="shared" si="6"/>
        <v>0</v>
      </c>
      <c r="I107" s="3">
        <v>0</v>
      </c>
      <c r="K107" s="3">
        <f t="shared" si="7"/>
        <v>0</v>
      </c>
      <c r="L107" s="2" t="s">
        <v>33</v>
      </c>
      <c r="M107" s="2" t="s">
        <v>293</v>
      </c>
    </row>
    <row r="108" spans="2:13" s="2" customFormat="1" x14ac:dyDescent="0.25">
      <c r="B108" s="2">
        <v>105</v>
      </c>
      <c r="D108" s="2" t="s">
        <v>294</v>
      </c>
      <c r="F108" s="3">
        <v>749973.99999999988</v>
      </c>
      <c r="G108" s="3">
        <v>164824.68</v>
      </c>
      <c r="H108" s="3">
        <f t="shared" si="6"/>
        <v>914798.67999999993</v>
      </c>
      <c r="I108" s="3">
        <v>29864386010</v>
      </c>
      <c r="J108" s="3">
        <v>6548668444</v>
      </c>
      <c r="K108" s="3">
        <f t="shared" si="7"/>
        <v>36413054454</v>
      </c>
      <c r="L108" s="2" t="s">
        <v>16</v>
      </c>
      <c r="M108" s="2" t="s">
        <v>295</v>
      </c>
    </row>
    <row r="109" spans="2:13" s="2" customFormat="1" x14ac:dyDescent="0.25">
      <c r="B109" s="2">
        <v>106</v>
      </c>
      <c r="D109" s="2" t="s">
        <v>296</v>
      </c>
      <c r="F109" s="3">
        <v>0</v>
      </c>
      <c r="H109" s="3">
        <f t="shared" si="6"/>
        <v>0</v>
      </c>
      <c r="I109" s="3">
        <v>0</v>
      </c>
      <c r="K109" s="3">
        <f t="shared" si="7"/>
        <v>0</v>
      </c>
      <c r="L109" s="2" t="s">
        <v>33</v>
      </c>
      <c r="M109" s="2" t="s">
        <v>297</v>
      </c>
    </row>
    <row r="110" spans="2:13" s="2" customFormat="1" x14ac:dyDescent="0.25">
      <c r="B110" s="2">
        <v>107</v>
      </c>
      <c r="D110" s="2" t="s">
        <v>298</v>
      </c>
      <c r="F110" s="3">
        <v>0</v>
      </c>
      <c r="H110" s="3">
        <f t="shared" si="6"/>
        <v>0</v>
      </c>
      <c r="I110" s="3">
        <v>0</v>
      </c>
      <c r="K110" s="3">
        <f t="shared" si="7"/>
        <v>0</v>
      </c>
      <c r="L110" s="2" t="s">
        <v>33</v>
      </c>
      <c r="M110" s="2" t="s">
        <v>299</v>
      </c>
    </row>
    <row r="111" spans="2:13" s="2" customFormat="1" x14ac:dyDescent="0.25">
      <c r="B111" s="2">
        <v>108</v>
      </c>
      <c r="D111" s="2" t="s">
        <v>300</v>
      </c>
      <c r="F111" s="3">
        <f>SUM(F112)</f>
        <v>-6420.4099999999889</v>
      </c>
      <c r="G111" s="3">
        <f>SUM(G112)</f>
        <v>-26.760000000000009</v>
      </c>
      <c r="H111" s="3">
        <f t="shared" si="6"/>
        <v>-6447.1699999999892</v>
      </c>
      <c r="I111" s="3">
        <f>SUM(I112)</f>
        <v>-255494051</v>
      </c>
      <c r="J111" s="3">
        <f>SUM(J112)</f>
        <v>-1093145</v>
      </c>
      <c r="K111" s="3">
        <f t="shared" si="7"/>
        <v>-256587196</v>
      </c>
      <c r="L111" s="2" t="s">
        <v>16</v>
      </c>
      <c r="M111" s="2" t="s">
        <v>301</v>
      </c>
    </row>
    <row r="112" spans="2:13" x14ac:dyDescent="0.25">
      <c r="B112">
        <v>109</v>
      </c>
      <c r="C112" t="s">
        <v>302</v>
      </c>
      <c r="E112" t="s">
        <v>303</v>
      </c>
      <c r="F112" s="4">
        <v>-6420.4099999999889</v>
      </c>
      <c r="G112" s="4">
        <v>-26.760000000000009</v>
      </c>
      <c r="H112" s="4">
        <f t="shared" si="6"/>
        <v>-6447.1699999999892</v>
      </c>
      <c r="I112" s="4">
        <v>-255494051</v>
      </c>
      <c r="J112" s="4">
        <v>-1093145</v>
      </c>
      <c r="K112" s="4">
        <f t="shared" si="7"/>
        <v>-256587196</v>
      </c>
      <c r="L112" t="s">
        <v>16</v>
      </c>
      <c r="M112" t="s">
        <v>304</v>
      </c>
    </row>
    <row r="113" spans="2:13" s="2" customFormat="1" x14ac:dyDescent="0.25">
      <c r="B113" s="2">
        <v>110</v>
      </c>
      <c r="D113" s="2" t="s">
        <v>305</v>
      </c>
      <c r="F113" s="3">
        <v>0</v>
      </c>
      <c r="G113" s="3">
        <v>0</v>
      </c>
      <c r="H113" s="3">
        <f t="shared" si="6"/>
        <v>0</v>
      </c>
      <c r="I113" s="3">
        <v>0</v>
      </c>
      <c r="J113" s="3">
        <v>0</v>
      </c>
      <c r="K113" s="3">
        <f t="shared" si="7"/>
        <v>0</v>
      </c>
      <c r="L113" s="2" t="s">
        <v>16</v>
      </c>
      <c r="M113" s="2" t="s">
        <v>306</v>
      </c>
    </row>
    <row r="114" spans="2:13" s="2" customFormat="1" x14ac:dyDescent="0.25">
      <c r="B114" s="2">
        <v>111</v>
      </c>
      <c r="D114" s="2" t="s">
        <v>307</v>
      </c>
      <c r="F114" s="3">
        <f>SUM(F115)</f>
        <v>0</v>
      </c>
      <c r="G114" s="3">
        <f>SUM(G115)</f>
        <v>-16042.73</v>
      </c>
      <c r="H114" s="3">
        <f t="shared" si="6"/>
        <v>-16042.73</v>
      </c>
      <c r="I114" s="3">
        <f>SUM(I115)</f>
        <v>0</v>
      </c>
      <c r="J114" s="3">
        <f>SUM(J115)</f>
        <v>-639194033</v>
      </c>
      <c r="K114" s="3">
        <f t="shared" si="7"/>
        <v>-639194033</v>
      </c>
      <c r="L114" s="2" t="s">
        <v>16</v>
      </c>
      <c r="M114" s="2" t="s">
        <v>308</v>
      </c>
    </row>
    <row r="115" spans="2:13" x14ac:dyDescent="0.25">
      <c r="B115">
        <v>112</v>
      </c>
      <c r="C115" t="s">
        <v>309</v>
      </c>
      <c r="E115" t="s">
        <v>310</v>
      </c>
      <c r="F115" s="4">
        <v>0</v>
      </c>
      <c r="G115" s="4">
        <v>-16042.73</v>
      </c>
      <c r="H115" s="4">
        <f t="shared" si="6"/>
        <v>-16042.73</v>
      </c>
      <c r="I115" s="4">
        <v>0</v>
      </c>
      <c r="J115" s="4">
        <v>-639194033</v>
      </c>
      <c r="K115" s="4">
        <f t="shared" si="7"/>
        <v>-639194033</v>
      </c>
      <c r="L115" t="s">
        <v>23</v>
      </c>
      <c r="M115" t="s">
        <v>311</v>
      </c>
    </row>
    <row r="116" spans="2:13" s="2" customFormat="1" x14ac:dyDescent="0.25">
      <c r="B116" s="2">
        <v>113</v>
      </c>
      <c r="D116" s="2" t="s">
        <v>312</v>
      </c>
      <c r="F116" s="3">
        <v>0</v>
      </c>
      <c r="G116" s="3">
        <v>0</v>
      </c>
      <c r="H116" s="3">
        <f t="shared" si="6"/>
        <v>0</v>
      </c>
      <c r="I116" s="3">
        <v>0</v>
      </c>
      <c r="J116" s="3">
        <v>0</v>
      </c>
      <c r="K116" s="3">
        <f t="shared" si="7"/>
        <v>0</v>
      </c>
      <c r="L116" s="2" t="s">
        <v>16</v>
      </c>
      <c r="M116" s="2" t="s">
        <v>313</v>
      </c>
    </row>
    <row r="117" spans="2:13" s="2" customFormat="1" x14ac:dyDescent="0.25">
      <c r="B117" s="2">
        <v>114</v>
      </c>
      <c r="D117" s="2" t="s">
        <v>314</v>
      </c>
      <c r="F117" s="3">
        <f>SUM(F118,F119)</f>
        <v>-7.4500000000000028</v>
      </c>
      <c r="G117" s="3">
        <f>SUM(G118,G119)</f>
        <v>-6.3599999999999994</v>
      </c>
      <c r="H117" s="3">
        <f t="shared" si="6"/>
        <v>-13.810000000000002</v>
      </c>
      <c r="I117" s="3">
        <f>SUM(I118,I119)</f>
        <v>-292389</v>
      </c>
      <c r="J117" s="3">
        <f>SUM(J118,J119)</f>
        <v>-259788</v>
      </c>
      <c r="K117" s="3">
        <f t="shared" si="7"/>
        <v>-552177</v>
      </c>
      <c r="L117" s="2" t="s">
        <v>16</v>
      </c>
      <c r="M117" s="2" t="s">
        <v>315</v>
      </c>
    </row>
    <row r="118" spans="2:13" x14ac:dyDescent="0.25">
      <c r="B118">
        <v>115</v>
      </c>
      <c r="C118" t="s">
        <v>316</v>
      </c>
      <c r="E118" t="s">
        <v>317</v>
      </c>
      <c r="F118" s="4">
        <v>-0.79999999999999716</v>
      </c>
      <c r="G118" s="4">
        <v>-0.35999999999999988</v>
      </c>
      <c r="H118" s="4">
        <f t="shared" si="6"/>
        <v>-1.159999999999997</v>
      </c>
      <c r="I118" s="4">
        <v>-32389</v>
      </c>
      <c r="J118" s="4">
        <v>-14710</v>
      </c>
      <c r="K118" s="4">
        <f t="shared" si="7"/>
        <v>-47099</v>
      </c>
      <c r="L118" t="s">
        <v>16</v>
      </c>
      <c r="M118" t="s">
        <v>318</v>
      </c>
    </row>
    <row r="119" spans="2:13" x14ac:dyDescent="0.25">
      <c r="B119">
        <v>116</v>
      </c>
      <c r="C119" t="s">
        <v>319</v>
      </c>
      <c r="E119" t="s">
        <v>320</v>
      </c>
      <c r="F119" s="4">
        <v>-6.6500000000000057</v>
      </c>
      <c r="G119" s="4">
        <v>-6</v>
      </c>
      <c r="H119" s="4">
        <f t="shared" si="6"/>
        <v>-12.650000000000006</v>
      </c>
      <c r="I119" s="4">
        <v>-260000</v>
      </c>
      <c r="J119" s="4">
        <v>-245078</v>
      </c>
      <c r="K119" s="4">
        <f t="shared" si="7"/>
        <v>-505078</v>
      </c>
      <c r="L119" t="s">
        <v>16</v>
      </c>
      <c r="M119" t="s">
        <v>321</v>
      </c>
    </row>
    <row r="120" spans="2:13" s="2" customFormat="1" x14ac:dyDescent="0.25">
      <c r="B120" s="2">
        <v>117</v>
      </c>
      <c r="D120" s="2" t="s">
        <v>322</v>
      </c>
      <c r="F120" s="3">
        <f>SUM(F121)</f>
        <v>-362013</v>
      </c>
      <c r="G120" s="3">
        <f>SUM(G121)</f>
        <v>0</v>
      </c>
      <c r="H120" s="3">
        <f t="shared" si="6"/>
        <v>-362013</v>
      </c>
      <c r="I120" s="3">
        <f>SUM(I121)</f>
        <v>-14398129489</v>
      </c>
      <c r="J120" s="3">
        <f>SUM(J121)</f>
        <v>0</v>
      </c>
      <c r="K120" s="3">
        <f t="shared" si="7"/>
        <v>-14398129489</v>
      </c>
      <c r="L120" s="2" t="s">
        <v>16</v>
      </c>
      <c r="M120" s="2" t="s">
        <v>323</v>
      </c>
    </row>
    <row r="121" spans="2:13" x14ac:dyDescent="0.25">
      <c r="B121">
        <v>118</v>
      </c>
      <c r="C121" t="s">
        <v>324</v>
      </c>
      <c r="E121" t="s">
        <v>325</v>
      </c>
      <c r="F121" s="4">
        <v>-362013</v>
      </c>
      <c r="H121" s="4">
        <f t="shared" si="6"/>
        <v>-362013</v>
      </c>
      <c r="I121" s="4">
        <v>-14398129489</v>
      </c>
      <c r="K121" s="4">
        <f t="shared" si="7"/>
        <v>-14398129489</v>
      </c>
      <c r="L121" t="s">
        <v>33</v>
      </c>
      <c r="M121" t="s">
        <v>326</v>
      </c>
    </row>
    <row r="122" spans="2:13" s="2" customFormat="1" x14ac:dyDescent="0.25">
      <c r="B122" s="2">
        <v>119</v>
      </c>
      <c r="D122" s="2" t="s">
        <v>327</v>
      </c>
      <c r="F122" s="3">
        <f>SUM(F123,F124)</f>
        <v>-47593.15</v>
      </c>
      <c r="G122" s="3">
        <f>SUM(G123,G124)</f>
        <v>0</v>
      </c>
      <c r="H122" s="3">
        <f t="shared" si="6"/>
        <v>-47593.15</v>
      </c>
      <c r="I122" s="3">
        <f>SUM(I123,I124)</f>
        <v>-1890821485</v>
      </c>
      <c r="J122" s="3">
        <f>SUM(J123,J124)</f>
        <v>0</v>
      </c>
      <c r="K122" s="3">
        <f t="shared" si="7"/>
        <v>-1890821485</v>
      </c>
      <c r="L122" s="2" t="s">
        <v>33</v>
      </c>
      <c r="M122" s="2" t="s">
        <v>328</v>
      </c>
    </row>
    <row r="123" spans="2:13" x14ac:dyDescent="0.25">
      <c r="B123">
        <v>120</v>
      </c>
      <c r="C123" t="s">
        <v>329</v>
      </c>
      <c r="E123" t="s">
        <v>330</v>
      </c>
      <c r="F123" s="4">
        <v>-47267</v>
      </c>
      <c r="H123" s="4">
        <f t="shared" si="6"/>
        <v>-47267</v>
      </c>
      <c r="I123" s="4">
        <v>-1877821485</v>
      </c>
      <c r="K123" s="4">
        <f t="shared" si="7"/>
        <v>-1877821485</v>
      </c>
      <c r="L123" t="s">
        <v>33</v>
      </c>
      <c r="M123" t="s">
        <v>331</v>
      </c>
    </row>
    <row r="124" spans="2:13" x14ac:dyDescent="0.25">
      <c r="B124">
        <v>121</v>
      </c>
      <c r="C124" t="s">
        <v>332</v>
      </c>
      <c r="E124" t="s">
        <v>333</v>
      </c>
      <c r="F124" s="4">
        <v>-326.14999999999998</v>
      </c>
      <c r="H124" s="4">
        <f t="shared" si="6"/>
        <v>-326.14999999999998</v>
      </c>
      <c r="I124" s="4">
        <v>-13000000</v>
      </c>
      <c r="K124" s="4">
        <f t="shared" si="7"/>
        <v>-13000000</v>
      </c>
      <c r="L124" t="s">
        <v>33</v>
      </c>
      <c r="M124" t="s">
        <v>334</v>
      </c>
    </row>
    <row r="125" spans="2:13" s="2" customFormat="1" x14ac:dyDescent="0.25">
      <c r="B125" s="2">
        <v>122</v>
      </c>
      <c r="D125" s="2" t="s">
        <v>335</v>
      </c>
      <c r="F125" s="3">
        <f>SUM(F126,F127,F128,F129,F130,F131)</f>
        <v>-164250.74</v>
      </c>
      <c r="G125" s="3">
        <f>SUM(G126,G127,G128,G129,G130,G131)</f>
        <v>-99998.420000000013</v>
      </c>
      <c r="H125" s="3">
        <f t="shared" si="6"/>
        <v>-264249.16000000003</v>
      </c>
      <c r="I125" s="3">
        <f>SUM(I126,I127,I128,I129,I130,I131)</f>
        <v>-6525346829</v>
      </c>
      <c r="J125" s="3">
        <f>SUM(J126,J127,J128,J129,J130,J131)</f>
        <v>-3972733229</v>
      </c>
      <c r="K125" s="3">
        <f t="shared" si="7"/>
        <v>-10498080058</v>
      </c>
      <c r="L125" s="2" t="s">
        <v>16</v>
      </c>
      <c r="M125" s="2" t="s">
        <v>336</v>
      </c>
    </row>
    <row r="126" spans="2:13" x14ac:dyDescent="0.25">
      <c r="B126">
        <v>123</v>
      </c>
      <c r="C126" t="s">
        <v>337</v>
      </c>
      <c r="E126" t="s">
        <v>338</v>
      </c>
      <c r="F126" s="4">
        <v>0</v>
      </c>
      <c r="G126" s="4">
        <v>-10547.37</v>
      </c>
      <c r="H126" s="4">
        <f t="shared" si="6"/>
        <v>-10547.37</v>
      </c>
      <c r="I126" s="4">
        <v>0</v>
      </c>
      <c r="J126" s="4">
        <v>-419025493</v>
      </c>
      <c r="K126" s="4">
        <f t="shared" si="7"/>
        <v>-419025493</v>
      </c>
      <c r="L126" t="s">
        <v>16</v>
      </c>
      <c r="M126" t="s">
        <v>339</v>
      </c>
    </row>
    <row r="127" spans="2:13" x14ac:dyDescent="0.25">
      <c r="B127">
        <v>124</v>
      </c>
      <c r="C127" t="s">
        <v>340</v>
      </c>
      <c r="E127" t="s">
        <v>341</v>
      </c>
      <c r="F127" s="4">
        <v>0</v>
      </c>
      <c r="G127" s="4">
        <v>-20181.900000000001</v>
      </c>
      <c r="H127" s="4">
        <f t="shared" si="6"/>
        <v>-20181.900000000001</v>
      </c>
      <c r="I127" s="4">
        <v>0</v>
      </c>
      <c r="J127" s="4">
        <v>-801785716</v>
      </c>
      <c r="K127" s="4">
        <f t="shared" si="7"/>
        <v>-801785716</v>
      </c>
      <c r="L127" t="s">
        <v>16</v>
      </c>
      <c r="M127" t="s">
        <v>342</v>
      </c>
    </row>
    <row r="128" spans="2:13" x14ac:dyDescent="0.25">
      <c r="B128">
        <v>125</v>
      </c>
      <c r="C128" t="s">
        <v>343</v>
      </c>
      <c r="E128" t="s">
        <v>344</v>
      </c>
      <c r="F128" s="4">
        <v>0</v>
      </c>
      <c r="G128" s="4">
        <v>-20181.900000000001</v>
      </c>
      <c r="H128" s="4">
        <f t="shared" si="6"/>
        <v>-20181.900000000001</v>
      </c>
      <c r="I128" s="4">
        <v>0</v>
      </c>
      <c r="J128" s="4">
        <v>-801785716</v>
      </c>
      <c r="K128" s="4">
        <f t="shared" si="7"/>
        <v>-801785716</v>
      </c>
      <c r="L128" t="s">
        <v>16</v>
      </c>
      <c r="M128" t="s">
        <v>345</v>
      </c>
    </row>
    <row r="129" spans="2:13" x14ac:dyDescent="0.25">
      <c r="B129">
        <v>126</v>
      </c>
      <c r="C129" t="s">
        <v>346</v>
      </c>
      <c r="E129" t="s">
        <v>347</v>
      </c>
      <c r="F129" s="4">
        <v>0</v>
      </c>
      <c r="G129" s="4">
        <v>-20181.900000000001</v>
      </c>
      <c r="H129" s="4">
        <f t="shared" si="6"/>
        <v>-20181.900000000001</v>
      </c>
      <c r="I129" s="4">
        <v>0</v>
      </c>
      <c r="J129" s="4">
        <v>-801785716</v>
      </c>
      <c r="K129" s="4">
        <f t="shared" si="7"/>
        <v>-801785716</v>
      </c>
      <c r="L129" t="s">
        <v>16</v>
      </c>
      <c r="M129" t="s">
        <v>348</v>
      </c>
    </row>
    <row r="130" spans="2:13" x14ac:dyDescent="0.25">
      <c r="B130">
        <v>127</v>
      </c>
      <c r="C130" t="s">
        <v>349</v>
      </c>
      <c r="E130" t="s">
        <v>350</v>
      </c>
      <c r="F130" s="4">
        <v>-164250.74</v>
      </c>
      <c r="G130" s="4">
        <v>-8906.91</v>
      </c>
      <c r="H130" s="4">
        <f t="shared" si="6"/>
        <v>-173157.65</v>
      </c>
      <c r="I130" s="4">
        <v>-6525346829</v>
      </c>
      <c r="J130" s="4">
        <v>-353853364</v>
      </c>
      <c r="K130" s="4">
        <f t="shared" si="7"/>
        <v>-6879200193</v>
      </c>
      <c r="L130" t="s">
        <v>23</v>
      </c>
      <c r="M130" t="s">
        <v>351</v>
      </c>
    </row>
    <row r="131" spans="2:13" x14ac:dyDescent="0.25">
      <c r="B131">
        <v>128</v>
      </c>
      <c r="C131" t="s">
        <v>352</v>
      </c>
      <c r="E131" t="s">
        <v>353</v>
      </c>
      <c r="F131" s="4">
        <v>0</v>
      </c>
      <c r="G131" s="4">
        <v>-19998.439999999999</v>
      </c>
      <c r="H131" s="4">
        <f t="shared" si="6"/>
        <v>-19998.439999999999</v>
      </c>
      <c r="I131" s="4">
        <v>0</v>
      </c>
      <c r="J131" s="4">
        <v>-794497224</v>
      </c>
      <c r="K131" s="4">
        <f t="shared" si="7"/>
        <v>-794497224</v>
      </c>
      <c r="L131" t="s">
        <v>23</v>
      </c>
      <c r="M131" t="s">
        <v>354</v>
      </c>
    </row>
    <row r="132" spans="2:13" s="2" customFormat="1" x14ac:dyDescent="0.25">
      <c r="B132" s="2">
        <v>129</v>
      </c>
      <c r="D132" s="2" t="s">
        <v>355</v>
      </c>
      <c r="F132" s="3">
        <f>SUM(F133)</f>
        <v>-161662.15</v>
      </c>
      <c r="G132" s="3">
        <f>SUM(G133)</f>
        <v>0</v>
      </c>
      <c r="H132" s="3">
        <f t="shared" ref="H132:H163" si="8">SUM(F132:G132)</f>
        <v>-161662.15</v>
      </c>
      <c r="I132" s="3">
        <f>SUM(I133)</f>
        <v>-6473936702</v>
      </c>
      <c r="J132" s="3">
        <f>SUM(J133)</f>
        <v>0</v>
      </c>
      <c r="K132" s="3">
        <f t="shared" ref="K132:K163" si="9">SUM(I132:J132)</f>
        <v>-6473936702</v>
      </c>
      <c r="L132" s="2" t="s">
        <v>33</v>
      </c>
      <c r="M132" s="2" t="s">
        <v>356</v>
      </c>
    </row>
    <row r="133" spans="2:13" x14ac:dyDescent="0.25">
      <c r="B133">
        <v>130</v>
      </c>
      <c r="C133" t="s">
        <v>357</v>
      </c>
      <c r="E133" t="s">
        <v>358</v>
      </c>
      <c r="F133" s="4">
        <v>-161662.15</v>
      </c>
      <c r="H133" s="4">
        <f t="shared" si="8"/>
        <v>-161662.15</v>
      </c>
      <c r="I133" s="4">
        <v>-6473936702</v>
      </c>
      <c r="K133" s="4">
        <f t="shared" si="9"/>
        <v>-6473936702</v>
      </c>
      <c r="L133" t="s">
        <v>33</v>
      </c>
      <c r="M133" t="s">
        <v>359</v>
      </c>
    </row>
    <row r="134" spans="2:13" s="2" customFormat="1" x14ac:dyDescent="0.25">
      <c r="B134" s="2">
        <v>131</v>
      </c>
      <c r="D134" s="2" t="s">
        <v>360</v>
      </c>
      <c r="F134" s="3">
        <f>SUM(F135,F136,F137)</f>
        <v>-6581.29</v>
      </c>
      <c r="G134" s="3">
        <f>SUM(G135,G136,G137)</f>
        <v>20426.189999999999</v>
      </c>
      <c r="H134" s="3">
        <f t="shared" si="8"/>
        <v>13844.899999999998</v>
      </c>
      <c r="I134" s="3">
        <f>SUM(I135,I136,I137)</f>
        <v>-261937236</v>
      </c>
      <c r="J134" s="3">
        <f>SUM(J135,J136,J137)</f>
        <v>811490344</v>
      </c>
      <c r="K134" s="3">
        <f t="shared" si="9"/>
        <v>549553108</v>
      </c>
      <c r="L134" s="2" t="s">
        <v>16</v>
      </c>
      <c r="M134" s="2" t="s">
        <v>361</v>
      </c>
    </row>
    <row r="135" spans="2:13" x14ac:dyDescent="0.25">
      <c r="B135">
        <v>132</v>
      </c>
      <c r="C135" t="s">
        <v>362</v>
      </c>
      <c r="E135" t="s">
        <v>363</v>
      </c>
      <c r="F135" s="4">
        <v>-35.78</v>
      </c>
      <c r="G135" s="4">
        <v>-70.569999999999993</v>
      </c>
      <c r="H135" s="4">
        <f t="shared" si="8"/>
        <v>-106.35</v>
      </c>
      <c r="I135" s="4">
        <v>-1421517</v>
      </c>
      <c r="J135" s="4">
        <v>-2803782</v>
      </c>
      <c r="K135" s="4">
        <f t="shared" si="9"/>
        <v>-4225299</v>
      </c>
      <c r="L135" t="s">
        <v>16</v>
      </c>
      <c r="M135" t="s">
        <v>364</v>
      </c>
    </row>
    <row r="136" spans="2:13" x14ac:dyDescent="0.25">
      <c r="B136">
        <v>133</v>
      </c>
      <c r="C136" t="s">
        <v>365</v>
      </c>
      <c r="E136" t="s">
        <v>366</v>
      </c>
      <c r="F136" s="4">
        <v>-6545.51</v>
      </c>
      <c r="G136" s="4">
        <v>0</v>
      </c>
      <c r="H136" s="4">
        <f t="shared" si="8"/>
        <v>-6545.51</v>
      </c>
      <c r="I136" s="4">
        <v>-260515719</v>
      </c>
      <c r="J136" s="4">
        <v>0</v>
      </c>
      <c r="K136" s="4">
        <f t="shared" si="9"/>
        <v>-260515719</v>
      </c>
      <c r="L136" t="s">
        <v>16</v>
      </c>
      <c r="M136" t="s">
        <v>367</v>
      </c>
    </row>
    <row r="137" spans="2:13" x14ac:dyDescent="0.25">
      <c r="B137">
        <v>134</v>
      </c>
      <c r="C137" t="s">
        <v>368</v>
      </c>
      <c r="E137" t="s">
        <v>369</v>
      </c>
      <c r="F137" s="4">
        <v>0</v>
      </c>
      <c r="G137" s="4">
        <v>20496.759999999998</v>
      </c>
      <c r="H137" s="4">
        <f t="shared" si="8"/>
        <v>20496.759999999998</v>
      </c>
      <c r="I137" s="4">
        <v>0</v>
      </c>
      <c r="J137" s="4">
        <v>814294126</v>
      </c>
      <c r="K137" s="4">
        <f t="shared" si="9"/>
        <v>814294126</v>
      </c>
      <c r="L137" t="s">
        <v>16</v>
      </c>
      <c r="M137" t="s">
        <v>370</v>
      </c>
    </row>
    <row r="138" spans="2:13" s="2" customFormat="1" x14ac:dyDescent="0.25">
      <c r="B138" s="2">
        <v>135</v>
      </c>
      <c r="D138" s="2" t="s">
        <v>371</v>
      </c>
      <c r="F138" s="3">
        <v>-748528.19</v>
      </c>
      <c r="G138" s="3">
        <v>-166848.07999999999</v>
      </c>
      <c r="H138" s="3">
        <f t="shared" si="8"/>
        <v>-915376.2699999999</v>
      </c>
      <c r="I138" s="3">
        <v>-29805958181</v>
      </c>
      <c r="J138" s="3">
        <v>-6630441196</v>
      </c>
      <c r="K138" s="3">
        <f t="shared" si="9"/>
        <v>-36436399377</v>
      </c>
      <c r="L138" s="2" t="s">
        <v>16</v>
      </c>
      <c r="M138" s="2" t="s">
        <v>372</v>
      </c>
    </row>
    <row r="139" spans="2:13" s="2" customFormat="1" x14ac:dyDescent="0.25">
      <c r="B139" s="2">
        <v>136</v>
      </c>
      <c r="D139" s="2" t="s">
        <v>373</v>
      </c>
      <c r="F139" s="3">
        <v>1445.809999999939</v>
      </c>
      <c r="G139" s="3">
        <v>-2023.4000000000231</v>
      </c>
      <c r="H139" s="3">
        <f t="shared" si="8"/>
        <v>-577.59000000008405</v>
      </c>
      <c r="I139" s="3">
        <v>58427829</v>
      </c>
      <c r="J139" s="3">
        <v>-81772752</v>
      </c>
      <c r="K139" s="3">
        <f t="shared" si="9"/>
        <v>-23344923</v>
      </c>
      <c r="L139" s="2" t="s">
        <v>16</v>
      </c>
      <c r="M139" s="2" t="s">
        <v>374</v>
      </c>
    </row>
    <row r="140" spans="2:13" s="2" customFormat="1" x14ac:dyDescent="0.25">
      <c r="B140" s="2">
        <v>137</v>
      </c>
      <c r="D140" s="2" t="s">
        <v>375</v>
      </c>
      <c r="F140" s="3">
        <f>SUM(F141,F142)</f>
        <v>-1445.81</v>
      </c>
      <c r="G140" s="3">
        <f>SUM(G141,G142)</f>
        <v>0</v>
      </c>
      <c r="H140" s="3">
        <f t="shared" si="8"/>
        <v>-1445.81</v>
      </c>
      <c r="I140" s="3">
        <f>SUM(I141,I142)</f>
        <v>-58427829</v>
      </c>
      <c r="J140" s="3">
        <f>SUM(J141,J142)</f>
        <v>0</v>
      </c>
      <c r="K140" s="3">
        <f t="shared" si="9"/>
        <v>-58427829</v>
      </c>
      <c r="L140" s="2" t="s">
        <v>16</v>
      </c>
      <c r="M140" s="2" t="s">
        <v>376</v>
      </c>
    </row>
    <row r="141" spans="2:13" x14ac:dyDescent="0.25">
      <c r="B141">
        <v>138</v>
      </c>
      <c r="C141" t="s">
        <v>377</v>
      </c>
      <c r="E141" t="s">
        <v>378</v>
      </c>
      <c r="F141" s="4">
        <v>-96.07</v>
      </c>
      <c r="H141" s="4">
        <f t="shared" si="8"/>
        <v>-96.07</v>
      </c>
      <c r="I141" s="4">
        <v>-3874770</v>
      </c>
      <c r="K141" s="4">
        <f t="shared" si="9"/>
        <v>-3874770</v>
      </c>
      <c r="L141" t="s">
        <v>33</v>
      </c>
      <c r="M141" t="s">
        <v>379</v>
      </c>
    </row>
    <row r="142" spans="2:13" x14ac:dyDescent="0.25">
      <c r="B142">
        <v>139</v>
      </c>
      <c r="C142" t="s">
        <v>380</v>
      </c>
      <c r="E142" t="s">
        <v>381</v>
      </c>
      <c r="F142" s="4">
        <v>-1349.74</v>
      </c>
      <c r="H142" s="4">
        <f t="shared" si="8"/>
        <v>-1349.74</v>
      </c>
      <c r="I142" s="4">
        <v>-54553059</v>
      </c>
      <c r="K142" s="4">
        <f t="shared" si="9"/>
        <v>-54553059</v>
      </c>
      <c r="L142" t="s">
        <v>33</v>
      </c>
      <c r="M142" t="s">
        <v>382</v>
      </c>
    </row>
    <row r="143" spans="2:13" s="2" customFormat="1" x14ac:dyDescent="0.25">
      <c r="B143" s="2">
        <v>140</v>
      </c>
      <c r="D143" s="2" t="s">
        <v>383</v>
      </c>
      <c r="F143" s="3">
        <f>SUM(F144,F145,F146,F147,F148,F149,F150,F151)</f>
        <v>0</v>
      </c>
      <c r="G143" s="3">
        <f>SUM(G144,G145,G146,G147,G148,G149,G150,G151)</f>
        <v>2023.3999999999999</v>
      </c>
      <c r="H143" s="3">
        <f t="shared" si="8"/>
        <v>2023.3999999999999</v>
      </c>
      <c r="I143" s="3">
        <f>SUM(I144,I145,I146,I147,I148,I149,I150,I151)</f>
        <v>0</v>
      </c>
      <c r="J143" s="3">
        <f>SUM(J144,J145,J146,J147,J148,J149,J150,J151)</f>
        <v>81772752</v>
      </c>
      <c r="K143" s="3">
        <f t="shared" si="9"/>
        <v>81772752</v>
      </c>
      <c r="L143" s="2" t="s">
        <v>16</v>
      </c>
      <c r="M143" s="2" t="s">
        <v>384</v>
      </c>
    </row>
    <row r="144" spans="2:13" x14ac:dyDescent="0.25">
      <c r="B144">
        <v>141</v>
      </c>
      <c r="C144" t="s">
        <v>385</v>
      </c>
      <c r="E144" t="s">
        <v>386</v>
      </c>
      <c r="F144" s="4">
        <v>0</v>
      </c>
      <c r="G144" s="4">
        <v>1.38</v>
      </c>
      <c r="H144" s="4">
        <f t="shared" si="8"/>
        <v>1.38</v>
      </c>
      <c r="I144" s="4">
        <v>0</v>
      </c>
      <c r="J144" s="4">
        <v>55000</v>
      </c>
      <c r="K144" s="4">
        <f t="shared" si="9"/>
        <v>55000</v>
      </c>
      <c r="L144" t="s">
        <v>16</v>
      </c>
      <c r="M144" t="s">
        <v>387</v>
      </c>
    </row>
    <row r="145" spans="2:13" x14ac:dyDescent="0.25">
      <c r="B145">
        <v>142</v>
      </c>
      <c r="C145" t="s">
        <v>388</v>
      </c>
      <c r="E145" t="s">
        <v>389</v>
      </c>
      <c r="F145" s="4">
        <v>0</v>
      </c>
      <c r="G145" s="4">
        <v>22</v>
      </c>
      <c r="H145" s="4">
        <f t="shared" si="8"/>
        <v>22</v>
      </c>
      <c r="I145" s="4">
        <v>0</v>
      </c>
      <c r="J145" s="4">
        <v>898585</v>
      </c>
      <c r="K145" s="4">
        <f t="shared" si="9"/>
        <v>898585</v>
      </c>
      <c r="L145" t="s">
        <v>16</v>
      </c>
      <c r="M145" t="s">
        <v>390</v>
      </c>
    </row>
    <row r="146" spans="2:13" x14ac:dyDescent="0.25">
      <c r="B146">
        <v>143</v>
      </c>
      <c r="C146" t="s">
        <v>391</v>
      </c>
      <c r="E146" t="s">
        <v>392</v>
      </c>
      <c r="F146" s="4">
        <v>0</v>
      </c>
      <c r="G146" s="4">
        <v>18.88</v>
      </c>
      <c r="H146" s="4">
        <f t="shared" si="8"/>
        <v>18.88</v>
      </c>
      <c r="I146" s="4">
        <v>0</v>
      </c>
      <c r="J146" s="4">
        <v>761317</v>
      </c>
      <c r="K146" s="4">
        <f t="shared" si="9"/>
        <v>761317</v>
      </c>
      <c r="L146" t="s">
        <v>16</v>
      </c>
      <c r="M146" t="s">
        <v>393</v>
      </c>
    </row>
    <row r="147" spans="2:13" x14ac:dyDescent="0.25">
      <c r="B147">
        <v>144</v>
      </c>
      <c r="C147" t="s">
        <v>394</v>
      </c>
      <c r="E147" t="s">
        <v>395</v>
      </c>
      <c r="F147" s="4">
        <v>0</v>
      </c>
      <c r="G147" s="4">
        <v>23.83</v>
      </c>
      <c r="H147" s="4">
        <f t="shared" si="8"/>
        <v>23.83</v>
      </c>
      <c r="I147" s="4">
        <v>0</v>
      </c>
      <c r="J147" s="4">
        <v>960556</v>
      </c>
      <c r="K147" s="4">
        <f t="shared" si="9"/>
        <v>960556</v>
      </c>
      <c r="L147" t="s">
        <v>16</v>
      </c>
      <c r="M147" t="s">
        <v>396</v>
      </c>
    </row>
    <row r="148" spans="2:13" x14ac:dyDescent="0.25">
      <c r="B148">
        <v>145</v>
      </c>
      <c r="C148" t="s">
        <v>397</v>
      </c>
      <c r="E148" t="s">
        <v>398</v>
      </c>
      <c r="F148" s="4">
        <v>0</v>
      </c>
      <c r="G148" s="4">
        <v>4.7300000000000004</v>
      </c>
      <c r="H148" s="4">
        <f t="shared" si="8"/>
        <v>4.7300000000000004</v>
      </c>
      <c r="I148" s="4">
        <v>0</v>
      </c>
      <c r="J148" s="4">
        <v>191390</v>
      </c>
      <c r="K148" s="4">
        <f t="shared" si="9"/>
        <v>191390</v>
      </c>
      <c r="L148" t="s">
        <v>16</v>
      </c>
      <c r="M148" t="s">
        <v>399</v>
      </c>
    </row>
    <row r="149" spans="2:13" x14ac:dyDescent="0.25">
      <c r="B149">
        <v>146</v>
      </c>
      <c r="C149" t="s">
        <v>400</v>
      </c>
      <c r="E149" t="s">
        <v>258</v>
      </c>
      <c r="F149" s="4">
        <v>0</v>
      </c>
      <c r="G149" s="4">
        <v>12.56</v>
      </c>
      <c r="H149" s="4">
        <f t="shared" si="8"/>
        <v>12.56</v>
      </c>
      <c r="I149" s="4">
        <v>0</v>
      </c>
      <c r="J149" s="4">
        <v>502589</v>
      </c>
      <c r="K149" s="4">
        <f t="shared" si="9"/>
        <v>502589</v>
      </c>
      <c r="L149" t="s">
        <v>16</v>
      </c>
      <c r="M149" t="s">
        <v>401</v>
      </c>
    </row>
    <row r="150" spans="2:13" x14ac:dyDescent="0.25">
      <c r="B150">
        <v>147</v>
      </c>
      <c r="C150" t="s">
        <v>402</v>
      </c>
      <c r="E150" t="s">
        <v>403</v>
      </c>
      <c r="F150" s="4">
        <v>0</v>
      </c>
      <c r="G150" s="4">
        <v>39.92</v>
      </c>
      <c r="H150" s="4">
        <f t="shared" si="8"/>
        <v>39.92</v>
      </c>
      <c r="I150" s="4">
        <v>0</v>
      </c>
      <c r="J150" s="4">
        <v>1589064</v>
      </c>
      <c r="K150" s="4">
        <f t="shared" si="9"/>
        <v>1589064</v>
      </c>
      <c r="L150" t="s">
        <v>16</v>
      </c>
      <c r="M150" t="s">
        <v>404</v>
      </c>
    </row>
    <row r="151" spans="2:13" x14ac:dyDescent="0.25">
      <c r="B151">
        <v>148</v>
      </c>
      <c r="C151" t="s">
        <v>405</v>
      </c>
      <c r="E151" t="s">
        <v>270</v>
      </c>
      <c r="F151" s="4">
        <v>0</v>
      </c>
      <c r="G151" s="4">
        <v>1900.1</v>
      </c>
      <c r="H151" s="4">
        <f t="shared" si="8"/>
        <v>1900.1</v>
      </c>
      <c r="I151" s="4">
        <v>0</v>
      </c>
      <c r="J151" s="4">
        <v>76814251</v>
      </c>
      <c r="K151" s="4">
        <f t="shared" si="9"/>
        <v>76814251</v>
      </c>
      <c r="L151" t="s">
        <v>16</v>
      </c>
      <c r="M151" t="s">
        <v>406</v>
      </c>
    </row>
    <row r="152" spans="2:13" s="2" customFormat="1" x14ac:dyDescent="0.25">
      <c r="B152" s="2">
        <v>149</v>
      </c>
      <c r="D152" s="2" t="s">
        <v>407</v>
      </c>
      <c r="F152" s="3">
        <v>-1445.81</v>
      </c>
      <c r="G152" s="3">
        <v>2023.4</v>
      </c>
      <c r="H152" s="3">
        <f t="shared" si="8"/>
        <v>577.59000000000015</v>
      </c>
      <c r="I152" s="3">
        <v>-58427829</v>
      </c>
      <c r="J152" s="3">
        <v>81772752</v>
      </c>
      <c r="K152" s="3">
        <f t="shared" si="9"/>
        <v>23344923</v>
      </c>
      <c r="L152" s="2" t="s">
        <v>16</v>
      </c>
      <c r="M152" s="2" t="s">
        <v>408</v>
      </c>
    </row>
    <row r="153" spans="2:13" s="2" customFormat="1" x14ac:dyDescent="0.25">
      <c r="B153" s="2">
        <v>150</v>
      </c>
      <c r="D153" s="2" t="s">
        <v>409</v>
      </c>
      <c r="F153" s="3">
        <v>-6.0481397667899728E-11</v>
      </c>
      <c r="G153" s="3">
        <v>-2.3419488570652899E-11</v>
      </c>
      <c r="H153" s="3">
        <f t="shared" si="8"/>
        <v>-8.390088623855263E-11</v>
      </c>
      <c r="I153" s="3">
        <v>0</v>
      </c>
      <c r="J153" s="3">
        <v>0</v>
      </c>
      <c r="K153" s="3">
        <f t="shared" si="9"/>
        <v>0</v>
      </c>
      <c r="L153" s="2" t="s">
        <v>16</v>
      </c>
      <c r="M153" s="2" t="s">
        <v>410</v>
      </c>
    </row>
    <row r="154" spans="2:13" s="2" customFormat="1" x14ac:dyDescent="0.25">
      <c r="B154" s="2">
        <v>151</v>
      </c>
      <c r="D154" s="2" t="s">
        <v>411</v>
      </c>
      <c r="F154" s="3">
        <f>SUM(F155)</f>
        <v>0</v>
      </c>
      <c r="G154" s="3">
        <f>SUM(G155)</f>
        <v>-71200</v>
      </c>
      <c r="H154" s="3">
        <f t="shared" si="8"/>
        <v>-71200</v>
      </c>
      <c r="I154" s="3">
        <f>SUM(I155)</f>
        <v>0</v>
      </c>
      <c r="J154" s="3">
        <f>SUM(J155)</f>
        <v>-2828651345</v>
      </c>
      <c r="K154" s="3">
        <f t="shared" si="9"/>
        <v>-2828651345</v>
      </c>
      <c r="L154" s="2" t="s">
        <v>412</v>
      </c>
      <c r="M154" s="2" t="s">
        <v>413</v>
      </c>
    </row>
    <row r="155" spans="2:13" x14ac:dyDescent="0.25">
      <c r="B155">
        <v>152</v>
      </c>
      <c r="C155" t="s">
        <v>414</v>
      </c>
      <c r="E155" t="s">
        <v>415</v>
      </c>
      <c r="G155" s="4">
        <v>-71200</v>
      </c>
      <c r="H155" s="4">
        <f t="shared" si="8"/>
        <v>-71200</v>
      </c>
      <c r="J155" s="4">
        <v>-2828651345</v>
      </c>
      <c r="K155" s="4">
        <f t="shared" si="9"/>
        <v>-2828651345</v>
      </c>
      <c r="L155" t="s">
        <v>412</v>
      </c>
      <c r="M155" t="s">
        <v>416</v>
      </c>
    </row>
  </sheetData>
  <autoFilter ref="B3:M155" xr:uid="{00000000-0009-0000-0000-000000000000}"/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5.7109375" customWidth="1"/>
    <col min="4" max="4" width="68.7109375" customWidth="1"/>
    <col min="5" max="6" width="19.7109375" customWidth="1"/>
    <col min="7" max="7" width="43.7109375" customWidth="1"/>
  </cols>
  <sheetData>
    <row r="1" spans="1:7" x14ac:dyDescent="0.25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</row>
    <row r="2" spans="1:7" x14ac:dyDescent="0.25">
      <c r="A2">
        <v>3</v>
      </c>
      <c r="B2" t="s">
        <v>424</v>
      </c>
      <c r="D2" t="s">
        <v>15</v>
      </c>
      <c r="E2">
        <v>170.85999999992961</v>
      </c>
      <c r="F2">
        <v>6515882</v>
      </c>
      <c r="G2" t="s">
        <v>425</v>
      </c>
    </row>
    <row r="3" spans="1:7" x14ac:dyDescent="0.25">
      <c r="A3">
        <v>4</v>
      </c>
      <c r="B3" t="s">
        <v>426</v>
      </c>
      <c r="C3" t="s">
        <v>18</v>
      </c>
      <c r="D3" t="s">
        <v>19</v>
      </c>
      <c r="E3">
        <v>25.17</v>
      </c>
      <c r="F3">
        <v>1000000</v>
      </c>
      <c r="G3" t="s">
        <v>425</v>
      </c>
    </row>
    <row r="4" spans="1:7" x14ac:dyDescent="0.25">
      <c r="A4">
        <v>5</v>
      </c>
      <c r="B4" t="s">
        <v>426</v>
      </c>
      <c r="C4" t="s">
        <v>427</v>
      </c>
      <c r="D4" t="s">
        <v>428</v>
      </c>
      <c r="E4">
        <v>0</v>
      </c>
      <c r="F4">
        <v>0</v>
      </c>
      <c r="G4" t="s">
        <v>425</v>
      </c>
    </row>
    <row r="5" spans="1:7" x14ac:dyDescent="0.25">
      <c r="A5">
        <v>6</v>
      </c>
      <c r="B5" t="s">
        <v>426</v>
      </c>
      <c r="C5" t="s">
        <v>21</v>
      </c>
      <c r="D5" t="s">
        <v>429</v>
      </c>
      <c r="E5">
        <v>145.6899999999296</v>
      </c>
      <c r="F5">
        <v>5515882</v>
      </c>
      <c r="G5" t="s">
        <v>425</v>
      </c>
    </row>
    <row r="6" spans="1:7" x14ac:dyDescent="0.25">
      <c r="A6">
        <v>7</v>
      </c>
      <c r="B6" t="s">
        <v>426</v>
      </c>
      <c r="C6" t="s">
        <v>430</v>
      </c>
      <c r="D6" t="s">
        <v>431</v>
      </c>
      <c r="E6">
        <v>0</v>
      </c>
      <c r="F6">
        <v>0</v>
      </c>
      <c r="G6" t="s">
        <v>425</v>
      </c>
    </row>
    <row r="7" spans="1:7" x14ac:dyDescent="0.25">
      <c r="A7">
        <v>8</v>
      </c>
      <c r="B7" t="s">
        <v>424</v>
      </c>
      <c r="D7" t="s">
        <v>25</v>
      </c>
      <c r="E7">
        <v>0</v>
      </c>
      <c r="F7">
        <v>0</v>
      </c>
      <c r="G7" t="s">
        <v>425</v>
      </c>
    </row>
    <row r="8" spans="1:7" x14ac:dyDescent="0.25">
      <c r="A8">
        <v>9</v>
      </c>
      <c r="B8" t="s">
        <v>426</v>
      </c>
      <c r="C8" t="s">
        <v>432</v>
      </c>
      <c r="D8" t="s">
        <v>433</v>
      </c>
      <c r="E8">
        <v>0</v>
      </c>
      <c r="F8">
        <v>0</v>
      </c>
      <c r="G8" t="s">
        <v>425</v>
      </c>
    </row>
    <row r="9" spans="1:7" x14ac:dyDescent="0.25">
      <c r="A9">
        <v>10</v>
      </c>
      <c r="B9" t="s">
        <v>424</v>
      </c>
      <c r="D9" t="s">
        <v>25</v>
      </c>
      <c r="E9">
        <v>4549.0999999999995</v>
      </c>
      <c r="F9">
        <v>180874770</v>
      </c>
      <c r="G9" t="s">
        <v>425</v>
      </c>
    </row>
    <row r="10" spans="1:7" x14ac:dyDescent="0.25">
      <c r="A10">
        <v>11</v>
      </c>
      <c r="B10" t="s">
        <v>426</v>
      </c>
      <c r="C10" t="s">
        <v>29</v>
      </c>
      <c r="D10" t="s">
        <v>30</v>
      </c>
      <c r="E10">
        <v>4549.0999999999995</v>
      </c>
      <c r="F10">
        <v>180874770</v>
      </c>
      <c r="G10" t="s">
        <v>425</v>
      </c>
    </row>
    <row r="11" spans="1:7" x14ac:dyDescent="0.25">
      <c r="A11">
        <v>12</v>
      </c>
      <c r="B11" t="s">
        <v>424</v>
      </c>
      <c r="D11" t="s">
        <v>32</v>
      </c>
      <c r="E11">
        <v>123276.76</v>
      </c>
      <c r="F11">
        <v>4934649793</v>
      </c>
      <c r="G11" t="s">
        <v>425</v>
      </c>
    </row>
    <row r="12" spans="1:7" x14ac:dyDescent="0.25">
      <c r="A12">
        <v>13</v>
      </c>
      <c r="B12" t="s">
        <v>426</v>
      </c>
      <c r="C12" t="s">
        <v>35</v>
      </c>
      <c r="D12" t="s">
        <v>36</v>
      </c>
      <c r="E12">
        <v>123276.76</v>
      </c>
      <c r="F12">
        <v>4934649793</v>
      </c>
      <c r="G12" t="s">
        <v>425</v>
      </c>
    </row>
    <row r="13" spans="1:7" x14ac:dyDescent="0.25">
      <c r="A13">
        <v>14</v>
      </c>
      <c r="B13" t="s">
        <v>424</v>
      </c>
      <c r="D13" t="s">
        <v>38</v>
      </c>
      <c r="E13">
        <v>0</v>
      </c>
      <c r="F13">
        <v>0</v>
      </c>
      <c r="G13" t="s">
        <v>425</v>
      </c>
    </row>
    <row r="14" spans="1:7" x14ac:dyDescent="0.25">
      <c r="A14">
        <v>15</v>
      </c>
      <c r="B14" t="s">
        <v>426</v>
      </c>
      <c r="C14" t="s">
        <v>434</v>
      </c>
      <c r="D14" t="s">
        <v>435</v>
      </c>
      <c r="E14">
        <v>0</v>
      </c>
      <c r="F14">
        <v>0</v>
      </c>
      <c r="G14" t="s">
        <v>425</v>
      </c>
    </row>
    <row r="15" spans="1:7" x14ac:dyDescent="0.25">
      <c r="A15">
        <v>16</v>
      </c>
      <c r="B15" t="s">
        <v>424</v>
      </c>
      <c r="D15" t="s">
        <v>40</v>
      </c>
      <c r="E15">
        <v>188.1800000000006</v>
      </c>
      <c r="F15">
        <v>7484000</v>
      </c>
      <c r="G15" t="s">
        <v>425</v>
      </c>
    </row>
    <row r="16" spans="1:7" x14ac:dyDescent="0.25">
      <c r="A16">
        <v>17</v>
      </c>
      <c r="B16" t="s">
        <v>426</v>
      </c>
      <c r="C16" t="s">
        <v>436</v>
      </c>
      <c r="D16" t="s">
        <v>437</v>
      </c>
      <c r="E16">
        <v>0</v>
      </c>
      <c r="F16">
        <v>0</v>
      </c>
      <c r="G16" t="s">
        <v>425</v>
      </c>
    </row>
    <row r="17" spans="1:7" x14ac:dyDescent="0.25">
      <c r="A17">
        <v>18</v>
      </c>
      <c r="B17" t="s">
        <v>426</v>
      </c>
      <c r="C17" t="s">
        <v>438</v>
      </c>
      <c r="D17" t="s">
        <v>439</v>
      </c>
      <c r="E17">
        <v>0</v>
      </c>
      <c r="F17">
        <v>0</v>
      </c>
      <c r="G17" t="s">
        <v>425</v>
      </c>
    </row>
    <row r="18" spans="1:7" x14ac:dyDescent="0.25">
      <c r="A18">
        <v>19</v>
      </c>
      <c r="B18" t="s">
        <v>426</v>
      </c>
      <c r="C18" t="s">
        <v>42</v>
      </c>
      <c r="D18" t="s">
        <v>43</v>
      </c>
      <c r="E18">
        <v>104.88000000000061</v>
      </c>
      <c r="F18">
        <v>4284000</v>
      </c>
      <c r="G18" t="s">
        <v>425</v>
      </c>
    </row>
    <row r="19" spans="1:7" x14ac:dyDescent="0.25">
      <c r="A19">
        <v>20</v>
      </c>
      <c r="B19" t="s">
        <v>426</v>
      </c>
      <c r="C19" t="s">
        <v>440</v>
      </c>
      <c r="D19" t="s">
        <v>441</v>
      </c>
      <c r="E19">
        <v>0</v>
      </c>
      <c r="F19">
        <v>0</v>
      </c>
      <c r="G19" t="s">
        <v>425</v>
      </c>
    </row>
    <row r="20" spans="1:7" x14ac:dyDescent="0.25">
      <c r="A20">
        <v>21</v>
      </c>
      <c r="B20" t="s">
        <v>426</v>
      </c>
      <c r="C20" t="s">
        <v>45</v>
      </c>
      <c r="D20" t="s">
        <v>46</v>
      </c>
      <c r="E20">
        <v>83.300000000000011</v>
      </c>
      <c r="F20">
        <v>3200000</v>
      </c>
      <c r="G20" t="s">
        <v>425</v>
      </c>
    </row>
    <row r="21" spans="1:7" x14ac:dyDescent="0.25">
      <c r="A21">
        <v>22</v>
      </c>
      <c r="B21" t="s">
        <v>424</v>
      </c>
      <c r="D21" t="s">
        <v>48</v>
      </c>
      <c r="E21">
        <v>16287.48</v>
      </c>
      <c r="F21">
        <v>649194033</v>
      </c>
      <c r="G21" t="s">
        <v>425</v>
      </c>
    </row>
    <row r="22" spans="1:7" x14ac:dyDescent="0.25">
      <c r="A22">
        <v>23</v>
      </c>
      <c r="B22" t="s">
        <v>426</v>
      </c>
      <c r="C22" t="s">
        <v>50</v>
      </c>
      <c r="D22" t="s">
        <v>51</v>
      </c>
      <c r="E22">
        <v>16287.48</v>
      </c>
      <c r="F22">
        <v>649194033</v>
      </c>
      <c r="G22" t="s">
        <v>425</v>
      </c>
    </row>
    <row r="23" spans="1:7" x14ac:dyDescent="0.25">
      <c r="A23">
        <v>24</v>
      </c>
      <c r="B23" t="s">
        <v>424</v>
      </c>
      <c r="D23" t="s">
        <v>53</v>
      </c>
      <c r="E23">
        <v>55380.66</v>
      </c>
      <c r="F23">
        <v>2205412772</v>
      </c>
      <c r="G23" t="s">
        <v>425</v>
      </c>
    </row>
    <row r="24" spans="1:7" x14ac:dyDescent="0.25">
      <c r="A24">
        <v>25</v>
      </c>
      <c r="B24" t="s">
        <v>426</v>
      </c>
      <c r="C24" t="s">
        <v>442</v>
      </c>
      <c r="D24" t="s">
        <v>443</v>
      </c>
      <c r="E24">
        <v>0</v>
      </c>
      <c r="F24">
        <v>0</v>
      </c>
      <c r="G24" t="s">
        <v>425</v>
      </c>
    </row>
    <row r="25" spans="1:7" x14ac:dyDescent="0.25">
      <c r="A25">
        <v>26</v>
      </c>
      <c r="B25" t="s">
        <v>426</v>
      </c>
      <c r="C25" t="s">
        <v>444</v>
      </c>
      <c r="D25" t="s">
        <v>445</v>
      </c>
      <c r="E25">
        <v>0</v>
      </c>
      <c r="F25">
        <v>0</v>
      </c>
      <c r="G25" t="s">
        <v>425</v>
      </c>
    </row>
    <row r="26" spans="1:7" x14ac:dyDescent="0.25">
      <c r="A26">
        <v>27</v>
      </c>
      <c r="B26" t="s">
        <v>426</v>
      </c>
      <c r="C26" t="s">
        <v>55</v>
      </c>
      <c r="D26" t="s">
        <v>56</v>
      </c>
      <c r="E26">
        <v>55380.66</v>
      </c>
      <c r="F26">
        <v>2205412772</v>
      </c>
      <c r="G26" t="s">
        <v>425</v>
      </c>
    </row>
    <row r="27" spans="1:7" x14ac:dyDescent="0.25">
      <c r="A27">
        <v>28</v>
      </c>
      <c r="B27" t="s">
        <v>426</v>
      </c>
      <c r="C27" t="s">
        <v>446</v>
      </c>
      <c r="D27" t="s">
        <v>447</v>
      </c>
      <c r="E27">
        <v>0</v>
      </c>
      <c r="F27">
        <v>0</v>
      </c>
      <c r="G27" t="s">
        <v>425</v>
      </c>
    </row>
    <row r="28" spans="1:7" x14ac:dyDescent="0.25">
      <c r="A28">
        <v>30</v>
      </c>
      <c r="B28" t="s">
        <v>424</v>
      </c>
      <c r="D28" t="s">
        <v>58</v>
      </c>
      <c r="G28" t="s">
        <v>425</v>
      </c>
    </row>
    <row r="29" spans="1:7" x14ac:dyDescent="0.25">
      <c r="A29">
        <v>31</v>
      </c>
      <c r="B29" t="s">
        <v>424</v>
      </c>
      <c r="D29" t="s">
        <v>48</v>
      </c>
      <c r="E29">
        <v>0</v>
      </c>
      <c r="F29">
        <v>0</v>
      </c>
      <c r="G29" t="s">
        <v>425</v>
      </c>
    </row>
    <row r="30" spans="1:7" x14ac:dyDescent="0.25">
      <c r="A30">
        <v>32</v>
      </c>
      <c r="B30" t="s">
        <v>426</v>
      </c>
      <c r="C30" t="s">
        <v>61</v>
      </c>
      <c r="D30" t="s">
        <v>448</v>
      </c>
      <c r="E30">
        <v>0</v>
      </c>
      <c r="F30">
        <v>0</v>
      </c>
      <c r="G30" t="s">
        <v>425</v>
      </c>
    </row>
    <row r="31" spans="1:7" x14ac:dyDescent="0.25">
      <c r="A31">
        <v>33</v>
      </c>
      <c r="B31" t="s">
        <v>426</v>
      </c>
      <c r="C31" t="s">
        <v>449</v>
      </c>
      <c r="D31" t="s">
        <v>450</v>
      </c>
      <c r="E31">
        <v>0</v>
      </c>
      <c r="F31">
        <v>0</v>
      </c>
      <c r="G31" t="s">
        <v>425</v>
      </c>
    </row>
    <row r="32" spans="1:7" x14ac:dyDescent="0.25">
      <c r="A32">
        <v>34</v>
      </c>
      <c r="B32" t="s">
        <v>426</v>
      </c>
      <c r="C32" t="s">
        <v>451</v>
      </c>
      <c r="D32" t="s">
        <v>452</v>
      </c>
      <c r="E32">
        <v>0</v>
      </c>
      <c r="F32">
        <v>0</v>
      </c>
      <c r="G32" t="s">
        <v>425</v>
      </c>
    </row>
    <row r="33" spans="1:7" x14ac:dyDescent="0.25">
      <c r="A33">
        <v>35</v>
      </c>
      <c r="B33" t="s">
        <v>426</v>
      </c>
      <c r="C33" t="s">
        <v>453</v>
      </c>
      <c r="D33" t="s">
        <v>454</v>
      </c>
      <c r="E33">
        <v>0</v>
      </c>
      <c r="F33">
        <v>0</v>
      </c>
      <c r="G33" t="s">
        <v>425</v>
      </c>
    </row>
    <row r="34" spans="1:7" x14ac:dyDescent="0.25">
      <c r="A34">
        <v>36</v>
      </c>
      <c r="B34" t="s">
        <v>426</v>
      </c>
      <c r="C34" t="s">
        <v>455</v>
      </c>
      <c r="D34" t="s">
        <v>456</v>
      </c>
      <c r="E34">
        <v>0</v>
      </c>
      <c r="F34">
        <v>0</v>
      </c>
      <c r="G34" t="s">
        <v>425</v>
      </c>
    </row>
    <row r="35" spans="1:7" x14ac:dyDescent="0.25">
      <c r="A35">
        <v>37</v>
      </c>
      <c r="B35" t="s">
        <v>424</v>
      </c>
      <c r="D35" t="s">
        <v>64</v>
      </c>
      <c r="E35">
        <v>0</v>
      </c>
      <c r="F35">
        <v>0</v>
      </c>
      <c r="G35" t="s">
        <v>425</v>
      </c>
    </row>
    <row r="36" spans="1:7" x14ac:dyDescent="0.25">
      <c r="A36">
        <v>38</v>
      </c>
      <c r="B36" t="s">
        <v>426</v>
      </c>
      <c r="C36" t="s">
        <v>66</v>
      </c>
      <c r="D36" t="s">
        <v>457</v>
      </c>
      <c r="E36">
        <v>0</v>
      </c>
      <c r="F36">
        <v>0</v>
      </c>
      <c r="G36" t="s">
        <v>425</v>
      </c>
    </row>
    <row r="37" spans="1:7" x14ac:dyDescent="0.25">
      <c r="A37">
        <v>39</v>
      </c>
      <c r="B37" t="s">
        <v>426</v>
      </c>
      <c r="C37" t="s">
        <v>458</v>
      </c>
      <c r="D37" t="s">
        <v>459</v>
      </c>
      <c r="E37">
        <v>0</v>
      </c>
      <c r="F37">
        <v>0</v>
      </c>
      <c r="G37" t="s">
        <v>425</v>
      </c>
    </row>
    <row r="38" spans="1:7" x14ac:dyDescent="0.25">
      <c r="A38">
        <v>40</v>
      </c>
      <c r="B38" t="s">
        <v>426</v>
      </c>
      <c r="C38" t="s">
        <v>460</v>
      </c>
      <c r="D38" t="s">
        <v>461</v>
      </c>
      <c r="E38">
        <v>0</v>
      </c>
      <c r="F38">
        <v>0</v>
      </c>
      <c r="G38" t="s">
        <v>425</v>
      </c>
    </row>
    <row r="39" spans="1:7" x14ac:dyDescent="0.25">
      <c r="A39">
        <v>41</v>
      </c>
      <c r="B39" t="s">
        <v>426</v>
      </c>
      <c r="C39" t="s">
        <v>462</v>
      </c>
      <c r="D39" t="s">
        <v>463</v>
      </c>
      <c r="E39">
        <v>0</v>
      </c>
      <c r="F39">
        <v>0</v>
      </c>
      <c r="G39" t="s">
        <v>425</v>
      </c>
    </row>
    <row r="40" spans="1:7" x14ac:dyDescent="0.25">
      <c r="A40">
        <v>42</v>
      </c>
      <c r="B40" t="s">
        <v>424</v>
      </c>
      <c r="D40" t="s">
        <v>69</v>
      </c>
      <c r="E40">
        <v>0</v>
      </c>
      <c r="F40">
        <v>0</v>
      </c>
      <c r="G40" t="s">
        <v>425</v>
      </c>
    </row>
    <row r="41" spans="1:7" x14ac:dyDescent="0.25">
      <c r="A41">
        <v>43</v>
      </c>
      <c r="B41" t="s">
        <v>426</v>
      </c>
      <c r="C41" t="s">
        <v>464</v>
      </c>
      <c r="D41" t="s">
        <v>465</v>
      </c>
      <c r="E41">
        <v>0</v>
      </c>
      <c r="F41">
        <v>0</v>
      </c>
      <c r="G41" t="s">
        <v>425</v>
      </c>
    </row>
    <row r="42" spans="1:7" x14ac:dyDescent="0.25">
      <c r="A42">
        <v>44</v>
      </c>
      <c r="B42" t="s">
        <v>426</v>
      </c>
      <c r="C42" t="s">
        <v>466</v>
      </c>
      <c r="D42" t="s">
        <v>467</v>
      </c>
      <c r="E42">
        <v>0</v>
      </c>
      <c r="F42">
        <v>0</v>
      </c>
      <c r="G42" t="s">
        <v>425</v>
      </c>
    </row>
    <row r="43" spans="1:7" x14ac:dyDescent="0.25">
      <c r="A43">
        <v>45</v>
      </c>
      <c r="B43" t="s">
        <v>426</v>
      </c>
      <c r="C43" t="s">
        <v>468</v>
      </c>
      <c r="D43" t="s">
        <v>469</v>
      </c>
      <c r="E43">
        <v>0</v>
      </c>
      <c r="F43">
        <v>0</v>
      </c>
      <c r="G43" t="s">
        <v>425</v>
      </c>
    </row>
    <row r="44" spans="1:7" x14ac:dyDescent="0.25">
      <c r="A44">
        <v>46</v>
      </c>
      <c r="B44" t="s">
        <v>426</v>
      </c>
      <c r="C44" t="s">
        <v>470</v>
      </c>
      <c r="D44" t="s">
        <v>471</v>
      </c>
      <c r="E44">
        <v>0</v>
      </c>
      <c r="F44">
        <v>0</v>
      </c>
      <c r="G44" t="s">
        <v>425</v>
      </c>
    </row>
    <row r="45" spans="1:7" x14ac:dyDescent="0.25">
      <c r="A45">
        <v>47</v>
      </c>
      <c r="B45" t="s">
        <v>426</v>
      </c>
      <c r="C45" t="s">
        <v>472</v>
      </c>
      <c r="D45" t="s">
        <v>473</v>
      </c>
      <c r="E45">
        <v>0</v>
      </c>
      <c r="F45">
        <v>0</v>
      </c>
      <c r="G45" t="s">
        <v>425</v>
      </c>
    </row>
    <row r="46" spans="1:7" x14ac:dyDescent="0.25">
      <c r="A46">
        <v>48</v>
      </c>
      <c r="B46" t="s">
        <v>424</v>
      </c>
      <c r="D46" t="s">
        <v>71</v>
      </c>
      <c r="E46">
        <v>0</v>
      </c>
      <c r="F46">
        <v>0</v>
      </c>
      <c r="G46" t="s">
        <v>425</v>
      </c>
    </row>
    <row r="47" spans="1:7" x14ac:dyDescent="0.25">
      <c r="A47">
        <v>49</v>
      </c>
      <c r="B47" t="s">
        <v>426</v>
      </c>
      <c r="C47" t="s">
        <v>474</v>
      </c>
      <c r="D47" t="s">
        <v>475</v>
      </c>
      <c r="E47">
        <v>0</v>
      </c>
      <c r="F47">
        <v>0</v>
      </c>
      <c r="G47" t="s">
        <v>425</v>
      </c>
    </row>
    <row r="48" spans="1:7" x14ac:dyDescent="0.25">
      <c r="A48">
        <v>50</v>
      </c>
      <c r="B48" t="s">
        <v>426</v>
      </c>
      <c r="C48" t="s">
        <v>476</v>
      </c>
      <c r="D48" t="s">
        <v>477</v>
      </c>
      <c r="E48">
        <v>0</v>
      </c>
      <c r="F48">
        <v>0</v>
      </c>
      <c r="G48" t="s">
        <v>425</v>
      </c>
    </row>
    <row r="49" spans="1:7" x14ac:dyDescent="0.25">
      <c r="A49">
        <v>51</v>
      </c>
      <c r="B49" t="s">
        <v>426</v>
      </c>
      <c r="C49" t="s">
        <v>478</v>
      </c>
      <c r="D49" t="s">
        <v>479</v>
      </c>
      <c r="E49">
        <v>0</v>
      </c>
      <c r="F49">
        <v>0</v>
      </c>
      <c r="G49" t="s">
        <v>425</v>
      </c>
    </row>
    <row r="50" spans="1:7" x14ac:dyDescent="0.25">
      <c r="A50">
        <v>52</v>
      </c>
      <c r="B50" t="s">
        <v>426</v>
      </c>
      <c r="C50" t="s">
        <v>480</v>
      </c>
      <c r="D50" t="s">
        <v>481</v>
      </c>
      <c r="E50">
        <v>0</v>
      </c>
      <c r="F50">
        <v>0</v>
      </c>
      <c r="G50" t="s">
        <v>425</v>
      </c>
    </row>
    <row r="51" spans="1:7" x14ac:dyDescent="0.25">
      <c r="A51">
        <v>54</v>
      </c>
      <c r="B51" t="s">
        <v>424</v>
      </c>
      <c r="D51" t="s">
        <v>73</v>
      </c>
      <c r="E51">
        <v>550120.95999999996</v>
      </c>
      <c r="F51">
        <v>21880254760</v>
      </c>
      <c r="G51" t="s">
        <v>425</v>
      </c>
    </row>
    <row r="52" spans="1:7" x14ac:dyDescent="0.25">
      <c r="A52">
        <v>56</v>
      </c>
      <c r="B52" t="s">
        <v>424</v>
      </c>
      <c r="D52" t="s">
        <v>75</v>
      </c>
      <c r="E52">
        <v>458992.37</v>
      </c>
      <c r="F52">
        <v>18254887779</v>
      </c>
      <c r="G52" t="s">
        <v>425</v>
      </c>
    </row>
    <row r="53" spans="1:7" x14ac:dyDescent="0.25">
      <c r="A53">
        <v>57</v>
      </c>
      <c r="B53" t="s">
        <v>424</v>
      </c>
      <c r="D53" t="s">
        <v>77</v>
      </c>
      <c r="E53">
        <v>191897.91</v>
      </c>
      <c r="F53">
        <v>7623882471</v>
      </c>
      <c r="G53" t="s">
        <v>425</v>
      </c>
    </row>
    <row r="54" spans="1:7" x14ac:dyDescent="0.25">
      <c r="A54">
        <v>58</v>
      </c>
      <c r="B54" t="s">
        <v>426</v>
      </c>
      <c r="C54" t="s">
        <v>79</v>
      </c>
      <c r="D54" t="s">
        <v>80</v>
      </c>
      <c r="E54">
        <v>180096.35</v>
      </c>
      <c r="F54">
        <v>7154860589</v>
      </c>
      <c r="G54" t="s">
        <v>425</v>
      </c>
    </row>
    <row r="55" spans="1:7" x14ac:dyDescent="0.25">
      <c r="A55">
        <v>59</v>
      </c>
      <c r="B55" t="s">
        <v>426</v>
      </c>
      <c r="C55" t="s">
        <v>82</v>
      </c>
      <c r="D55" t="s">
        <v>83</v>
      </c>
      <c r="E55">
        <v>3600.07</v>
      </c>
      <c r="F55">
        <v>143023437</v>
      </c>
      <c r="G55" t="s">
        <v>425</v>
      </c>
    </row>
    <row r="56" spans="1:7" x14ac:dyDescent="0.25">
      <c r="A56">
        <v>60</v>
      </c>
      <c r="B56" t="s">
        <v>426</v>
      </c>
      <c r="C56" t="s">
        <v>85</v>
      </c>
      <c r="D56" t="s">
        <v>86</v>
      </c>
      <c r="E56">
        <v>4000</v>
      </c>
      <c r="F56">
        <v>158911840</v>
      </c>
      <c r="G56" t="s">
        <v>425</v>
      </c>
    </row>
    <row r="57" spans="1:7" x14ac:dyDescent="0.25">
      <c r="A57">
        <v>61</v>
      </c>
      <c r="B57" t="s">
        <v>426</v>
      </c>
      <c r="C57" t="s">
        <v>88</v>
      </c>
      <c r="D57" t="s">
        <v>89</v>
      </c>
      <c r="E57">
        <v>3712.14</v>
      </c>
      <c r="F57">
        <v>147645728</v>
      </c>
      <c r="G57" t="s">
        <v>425</v>
      </c>
    </row>
    <row r="58" spans="1:7" x14ac:dyDescent="0.25">
      <c r="A58">
        <v>62</v>
      </c>
      <c r="B58" t="s">
        <v>426</v>
      </c>
      <c r="C58" t="s">
        <v>91</v>
      </c>
      <c r="D58" t="s">
        <v>92</v>
      </c>
      <c r="E58">
        <v>489.35</v>
      </c>
      <c r="F58">
        <v>19440877</v>
      </c>
      <c r="G58" t="s">
        <v>425</v>
      </c>
    </row>
    <row r="59" spans="1:7" x14ac:dyDescent="0.25">
      <c r="A59">
        <v>63</v>
      </c>
      <c r="B59" t="s">
        <v>424</v>
      </c>
      <c r="D59" t="s">
        <v>94</v>
      </c>
      <c r="E59">
        <v>1559.14</v>
      </c>
      <c r="F59">
        <v>62123793</v>
      </c>
      <c r="G59" t="s">
        <v>425</v>
      </c>
    </row>
    <row r="60" spans="1:7" x14ac:dyDescent="0.25">
      <c r="A60">
        <v>64</v>
      </c>
      <c r="B60" t="s">
        <v>426</v>
      </c>
      <c r="C60" t="s">
        <v>96</v>
      </c>
      <c r="D60" t="s">
        <v>97</v>
      </c>
      <c r="E60">
        <v>1124.31</v>
      </c>
      <c r="F60">
        <v>44848884</v>
      </c>
      <c r="G60" t="s">
        <v>425</v>
      </c>
    </row>
    <row r="61" spans="1:7" x14ac:dyDescent="0.25">
      <c r="A61">
        <v>65</v>
      </c>
      <c r="B61" t="s">
        <v>426</v>
      </c>
      <c r="C61" t="s">
        <v>99</v>
      </c>
      <c r="D61" t="s">
        <v>100</v>
      </c>
      <c r="E61">
        <v>381.35</v>
      </c>
      <c r="F61">
        <v>15150258</v>
      </c>
      <c r="G61" t="s">
        <v>425</v>
      </c>
    </row>
    <row r="62" spans="1:7" x14ac:dyDescent="0.25">
      <c r="A62">
        <v>66</v>
      </c>
      <c r="B62" t="s">
        <v>426</v>
      </c>
      <c r="C62" t="s">
        <v>102</v>
      </c>
      <c r="D62" t="s">
        <v>103</v>
      </c>
      <c r="E62">
        <v>53.48</v>
      </c>
      <c r="F62">
        <v>2124651</v>
      </c>
      <c r="G62" t="s">
        <v>425</v>
      </c>
    </row>
    <row r="63" spans="1:7" x14ac:dyDescent="0.25">
      <c r="A63">
        <v>67</v>
      </c>
      <c r="B63" t="s">
        <v>424</v>
      </c>
      <c r="D63" t="s">
        <v>105</v>
      </c>
      <c r="E63">
        <v>3157.9</v>
      </c>
      <c r="F63">
        <v>125490722</v>
      </c>
      <c r="G63" t="s">
        <v>425</v>
      </c>
    </row>
    <row r="64" spans="1:7" x14ac:dyDescent="0.25">
      <c r="A64">
        <v>68</v>
      </c>
      <c r="B64" t="s">
        <v>426</v>
      </c>
      <c r="C64" t="s">
        <v>107</v>
      </c>
      <c r="D64" t="s">
        <v>108</v>
      </c>
      <c r="E64">
        <v>2581.3200000000002</v>
      </c>
      <c r="F64">
        <v>102584375</v>
      </c>
      <c r="G64" t="s">
        <v>425</v>
      </c>
    </row>
    <row r="65" spans="1:7" x14ac:dyDescent="0.25">
      <c r="A65">
        <v>69</v>
      </c>
      <c r="B65" t="s">
        <v>426</v>
      </c>
      <c r="C65" t="s">
        <v>110</v>
      </c>
      <c r="D65" t="s">
        <v>111</v>
      </c>
      <c r="E65">
        <v>576.58000000000004</v>
      </c>
      <c r="F65">
        <v>22906347</v>
      </c>
      <c r="G65" t="s">
        <v>425</v>
      </c>
    </row>
    <row r="66" spans="1:7" x14ac:dyDescent="0.25">
      <c r="A66">
        <v>70</v>
      </c>
      <c r="B66" t="s">
        <v>424</v>
      </c>
      <c r="D66" t="s">
        <v>113</v>
      </c>
      <c r="E66">
        <v>17836.330000000002</v>
      </c>
      <c r="F66">
        <v>712003480</v>
      </c>
      <c r="G66" t="s">
        <v>425</v>
      </c>
    </row>
    <row r="67" spans="1:7" x14ac:dyDescent="0.25">
      <c r="A67">
        <v>71</v>
      </c>
      <c r="B67" t="s">
        <v>426</v>
      </c>
      <c r="C67" t="s">
        <v>115</v>
      </c>
      <c r="D67" t="s">
        <v>116</v>
      </c>
      <c r="E67">
        <v>5785.5</v>
      </c>
      <c r="F67">
        <v>229977591</v>
      </c>
      <c r="G67" t="s">
        <v>425</v>
      </c>
    </row>
    <row r="68" spans="1:7" x14ac:dyDescent="0.25">
      <c r="A68">
        <v>72</v>
      </c>
      <c r="B68" t="s">
        <v>426</v>
      </c>
      <c r="C68" t="s">
        <v>118</v>
      </c>
      <c r="D68" t="s">
        <v>119</v>
      </c>
      <c r="E68">
        <v>1579.65</v>
      </c>
      <c r="F68">
        <v>62756272</v>
      </c>
      <c r="G68" t="s">
        <v>425</v>
      </c>
    </row>
    <row r="69" spans="1:7" x14ac:dyDescent="0.25">
      <c r="A69">
        <v>73</v>
      </c>
      <c r="B69" t="s">
        <v>426</v>
      </c>
      <c r="C69" t="s">
        <v>121</v>
      </c>
      <c r="D69" t="s">
        <v>122</v>
      </c>
      <c r="E69">
        <v>214</v>
      </c>
      <c r="F69">
        <v>8501783</v>
      </c>
      <c r="G69" t="s">
        <v>425</v>
      </c>
    </row>
    <row r="70" spans="1:7" x14ac:dyDescent="0.25">
      <c r="A70">
        <v>74</v>
      </c>
      <c r="B70" t="s">
        <v>426</v>
      </c>
      <c r="C70" t="s">
        <v>124</v>
      </c>
      <c r="D70" t="s">
        <v>125</v>
      </c>
      <c r="E70">
        <v>187</v>
      </c>
      <c r="F70">
        <v>7429129</v>
      </c>
      <c r="G70" t="s">
        <v>425</v>
      </c>
    </row>
    <row r="71" spans="1:7" x14ac:dyDescent="0.25">
      <c r="A71">
        <v>75</v>
      </c>
      <c r="B71" t="s">
        <v>426</v>
      </c>
      <c r="C71" t="s">
        <v>127</v>
      </c>
      <c r="D71" t="s">
        <v>128</v>
      </c>
      <c r="E71">
        <v>230</v>
      </c>
      <c r="F71">
        <v>9137431</v>
      </c>
      <c r="G71" t="s">
        <v>425</v>
      </c>
    </row>
    <row r="72" spans="1:7" x14ac:dyDescent="0.25">
      <c r="A72">
        <v>76</v>
      </c>
      <c r="B72" t="s">
        <v>426</v>
      </c>
      <c r="C72" t="s">
        <v>130</v>
      </c>
      <c r="D72" t="s">
        <v>131</v>
      </c>
      <c r="E72">
        <v>254</v>
      </c>
      <c r="F72">
        <v>10090902</v>
      </c>
      <c r="G72" t="s">
        <v>425</v>
      </c>
    </row>
    <row r="73" spans="1:7" x14ac:dyDescent="0.25">
      <c r="A73">
        <v>77</v>
      </c>
      <c r="B73" t="s">
        <v>426</v>
      </c>
      <c r="C73" t="s">
        <v>133</v>
      </c>
      <c r="D73" t="s">
        <v>134</v>
      </c>
      <c r="E73">
        <v>20</v>
      </c>
      <c r="F73">
        <v>794559</v>
      </c>
      <c r="G73" t="s">
        <v>425</v>
      </c>
    </row>
    <row r="74" spans="1:7" x14ac:dyDescent="0.25">
      <c r="A74">
        <v>78</v>
      </c>
      <c r="B74" t="s">
        <v>426</v>
      </c>
      <c r="C74" t="s">
        <v>136</v>
      </c>
      <c r="D74" t="s">
        <v>137</v>
      </c>
      <c r="E74">
        <v>105</v>
      </c>
      <c r="F74">
        <v>4177020</v>
      </c>
      <c r="G74" t="s">
        <v>425</v>
      </c>
    </row>
    <row r="75" spans="1:7" x14ac:dyDescent="0.25">
      <c r="A75">
        <v>79</v>
      </c>
      <c r="B75" t="s">
        <v>426</v>
      </c>
      <c r="C75" t="s">
        <v>139</v>
      </c>
      <c r="D75" t="s">
        <v>140</v>
      </c>
      <c r="E75">
        <v>140.94</v>
      </c>
      <c r="F75">
        <v>5599259</v>
      </c>
      <c r="G75" t="s">
        <v>425</v>
      </c>
    </row>
    <row r="76" spans="1:7" x14ac:dyDescent="0.25">
      <c r="A76">
        <v>80</v>
      </c>
      <c r="B76" t="s">
        <v>426</v>
      </c>
      <c r="C76" t="s">
        <v>142</v>
      </c>
      <c r="D76" t="s">
        <v>143</v>
      </c>
      <c r="E76">
        <v>703.83</v>
      </c>
      <c r="F76">
        <v>27964974</v>
      </c>
      <c r="G76" t="s">
        <v>425</v>
      </c>
    </row>
    <row r="77" spans="1:7" x14ac:dyDescent="0.25">
      <c r="A77">
        <v>81</v>
      </c>
      <c r="B77" t="s">
        <v>426</v>
      </c>
      <c r="C77" t="s">
        <v>145</v>
      </c>
      <c r="D77" t="s">
        <v>146</v>
      </c>
      <c r="E77">
        <v>154</v>
      </c>
      <c r="F77">
        <v>6119471</v>
      </c>
      <c r="G77" t="s">
        <v>425</v>
      </c>
    </row>
    <row r="78" spans="1:7" x14ac:dyDescent="0.25">
      <c r="A78">
        <v>82</v>
      </c>
      <c r="B78" t="s">
        <v>426</v>
      </c>
      <c r="C78" t="s">
        <v>482</v>
      </c>
      <c r="D78" t="s">
        <v>152</v>
      </c>
      <c r="E78">
        <v>0</v>
      </c>
      <c r="F78">
        <v>0</v>
      </c>
      <c r="G78" t="s">
        <v>425</v>
      </c>
    </row>
    <row r="79" spans="1:7" x14ac:dyDescent="0.25">
      <c r="A79">
        <v>83</v>
      </c>
      <c r="B79" t="s">
        <v>426</v>
      </c>
      <c r="C79" t="s">
        <v>148</v>
      </c>
      <c r="D79" t="s">
        <v>149</v>
      </c>
      <c r="E79">
        <v>510</v>
      </c>
      <c r="F79">
        <v>20261260</v>
      </c>
      <c r="G79" t="s">
        <v>425</v>
      </c>
    </row>
    <row r="80" spans="1:7" x14ac:dyDescent="0.25">
      <c r="A80">
        <v>84</v>
      </c>
      <c r="B80" t="s">
        <v>426</v>
      </c>
      <c r="C80" t="s">
        <v>151</v>
      </c>
      <c r="D80" t="s">
        <v>152</v>
      </c>
      <c r="E80">
        <v>2403.58</v>
      </c>
      <c r="F80">
        <v>95529129</v>
      </c>
      <c r="G80" t="s">
        <v>425</v>
      </c>
    </row>
    <row r="81" spans="1:7" x14ac:dyDescent="0.25">
      <c r="A81">
        <v>85</v>
      </c>
      <c r="B81" t="s">
        <v>426</v>
      </c>
      <c r="C81" t="s">
        <v>154</v>
      </c>
      <c r="D81" t="s">
        <v>155</v>
      </c>
      <c r="E81">
        <v>4095.71</v>
      </c>
      <c r="F81">
        <v>165790537</v>
      </c>
      <c r="G81" t="s">
        <v>425</v>
      </c>
    </row>
    <row r="82" spans="1:7" x14ac:dyDescent="0.25">
      <c r="A82">
        <v>86</v>
      </c>
      <c r="B82" t="s">
        <v>426</v>
      </c>
      <c r="C82" t="s">
        <v>157</v>
      </c>
      <c r="D82" t="s">
        <v>158</v>
      </c>
      <c r="E82">
        <v>15.84</v>
      </c>
      <c r="F82">
        <v>632343</v>
      </c>
      <c r="G82" t="s">
        <v>425</v>
      </c>
    </row>
    <row r="83" spans="1:7" x14ac:dyDescent="0.25">
      <c r="A83">
        <v>87</v>
      </c>
      <c r="B83" t="s">
        <v>426</v>
      </c>
      <c r="C83" t="s">
        <v>160</v>
      </c>
      <c r="D83" t="s">
        <v>161</v>
      </c>
      <c r="E83">
        <v>103</v>
      </c>
      <c r="F83">
        <v>4135130</v>
      </c>
      <c r="G83" t="s">
        <v>425</v>
      </c>
    </row>
    <row r="84" spans="1:7" x14ac:dyDescent="0.25">
      <c r="A84">
        <v>88</v>
      </c>
      <c r="B84" t="s">
        <v>426</v>
      </c>
      <c r="C84" t="s">
        <v>483</v>
      </c>
      <c r="D84" t="s">
        <v>484</v>
      </c>
      <c r="E84">
        <v>0</v>
      </c>
      <c r="F84">
        <v>0</v>
      </c>
      <c r="G84" t="s">
        <v>425</v>
      </c>
    </row>
    <row r="85" spans="1:7" x14ac:dyDescent="0.25">
      <c r="A85">
        <v>89</v>
      </c>
      <c r="B85" t="s">
        <v>426</v>
      </c>
      <c r="C85" t="s">
        <v>163</v>
      </c>
      <c r="D85" t="s">
        <v>164</v>
      </c>
      <c r="E85">
        <v>775.6400000000001</v>
      </c>
      <c r="F85">
        <v>30913062</v>
      </c>
      <c r="G85" t="s">
        <v>425</v>
      </c>
    </row>
    <row r="86" spans="1:7" x14ac:dyDescent="0.25">
      <c r="A86">
        <v>90</v>
      </c>
      <c r="B86" t="s">
        <v>426</v>
      </c>
      <c r="C86" t="s">
        <v>166</v>
      </c>
      <c r="D86" t="s">
        <v>167</v>
      </c>
      <c r="E86">
        <v>234</v>
      </c>
      <c r="F86">
        <v>9296343</v>
      </c>
      <c r="G86" t="s">
        <v>425</v>
      </c>
    </row>
    <row r="87" spans="1:7" x14ac:dyDescent="0.25">
      <c r="A87">
        <v>91</v>
      </c>
      <c r="B87" t="s">
        <v>426</v>
      </c>
      <c r="C87" t="s">
        <v>169</v>
      </c>
      <c r="D87" t="s">
        <v>170</v>
      </c>
      <c r="E87">
        <v>324.64</v>
      </c>
      <c r="F87">
        <v>12897285</v>
      </c>
      <c r="G87" t="s">
        <v>425</v>
      </c>
    </row>
    <row r="88" spans="1:7" x14ac:dyDescent="0.25">
      <c r="A88">
        <v>92</v>
      </c>
      <c r="B88" t="s">
        <v>424</v>
      </c>
      <c r="D88" t="s">
        <v>172</v>
      </c>
      <c r="E88">
        <v>244541.09</v>
      </c>
      <c r="F88">
        <v>9731387313</v>
      </c>
      <c r="G88" t="s">
        <v>425</v>
      </c>
    </row>
    <row r="89" spans="1:7" x14ac:dyDescent="0.25">
      <c r="A89">
        <v>93</v>
      </c>
      <c r="B89" t="s">
        <v>426</v>
      </c>
      <c r="C89" t="s">
        <v>174</v>
      </c>
      <c r="D89" t="s">
        <v>175</v>
      </c>
      <c r="E89">
        <v>245594.88</v>
      </c>
      <c r="F89">
        <v>9771507490</v>
      </c>
      <c r="G89" t="s">
        <v>425</v>
      </c>
    </row>
    <row r="90" spans="1:7" x14ac:dyDescent="0.25">
      <c r="A90">
        <v>94</v>
      </c>
      <c r="B90" t="s">
        <v>426</v>
      </c>
      <c r="C90" t="s">
        <v>177</v>
      </c>
      <c r="D90" t="s">
        <v>178</v>
      </c>
      <c r="E90">
        <v>-5702.33</v>
      </c>
      <c r="F90">
        <v>-226831040</v>
      </c>
      <c r="G90" t="s">
        <v>425</v>
      </c>
    </row>
    <row r="91" spans="1:7" x14ac:dyDescent="0.25">
      <c r="A91">
        <v>95</v>
      </c>
      <c r="B91" t="s">
        <v>426</v>
      </c>
      <c r="C91" t="s">
        <v>180</v>
      </c>
      <c r="D91" t="s">
        <v>181</v>
      </c>
      <c r="E91">
        <v>2856.7</v>
      </c>
      <c r="F91">
        <v>115524715</v>
      </c>
      <c r="G91" t="s">
        <v>425</v>
      </c>
    </row>
    <row r="92" spans="1:7" x14ac:dyDescent="0.25">
      <c r="A92">
        <v>96</v>
      </c>
      <c r="B92" t="s">
        <v>426</v>
      </c>
      <c r="C92" t="s">
        <v>485</v>
      </c>
      <c r="D92" t="s">
        <v>486</v>
      </c>
      <c r="E92">
        <v>0</v>
      </c>
      <c r="F92">
        <v>0</v>
      </c>
      <c r="G92" t="s">
        <v>425</v>
      </c>
    </row>
    <row r="93" spans="1:7" x14ac:dyDescent="0.25">
      <c r="A93">
        <v>97</v>
      </c>
      <c r="B93" t="s">
        <v>426</v>
      </c>
      <c r="C93" t="s">
        <v>487</v>
      </c>
      <c r="D93" t="s">
        <v>488</v>
      </c>
      <c r="E93">
        <v>0</v>
      </c>
      <c r="F93">
        <v>0</v>
      </c>
      <c r="G93" t="s">
        <v>425</v>
      </c>
    </row>
    <row r="94" spans="1:7" x14ac:dyDescent="0.25">
      <c r="A94">
        <v>98</v>
      </c>
      <c r="B94" t="s">
        <v>426</v>
      </c>
      <c r="C94" t="s">
        <v>183</v>
      </c>
      <c r="D94" t="s">
        <v>184</v>
      </c>
      <c r="E94">
        <v>95.16</v>
      </c>
      <c r="F94">
        <v>3780513</v>
      </c>
      <c r="G94" t="s">
        <v>425</v>
      </c>
    </row>
    <row r="95" spans="1:7" x14ac:dyDescent="0.25">
      <c r="A95">
        <v>99</v>
      </c>
      <c r="B95" t="s">
        <v>426</v>
      </c>
      <c r="C95" t="s">
        <v>186</v>
      </c>
      <c r="D95" t="s">
        <v>187</v>
      </c>
      <c r="E95">
        <v>1696.68</v>
      </c>
      <c r="F95">
        <v>67405635</v>
      </c>
      <c r="G95" t="s">
        <v>425</v>
      </c>
    </row>
    <row r="96" spans="1:7" x14ac:dyDescent="0.25">
      <c r="A96">
        <v>100</v>
      </c>
      <c r="B96" t="s">
        <v>424</v>
      </c>
      <c r="D96" t="s">
        <v>189</v>
      </c>
      <c r="E96">
        <v>0</v>
      </c>
      <c r="F96">
        <v>0</v>
      </c>
      <c r="G96" t="s">
        <v>425</v>
      </c>
    </row>
    <row r="97" spans="1:7" x14ac:dyDescent="0.25">
      <c r="A97">
        <v>101</v>
      </c>
      <c r="B97" t="s">
        <v>424</v>
      </c>
      <c r="D97" t="s">
        <v>191</v>
      </c>
      <c r="E97">
        <v>0</v>
      </c>
      <c r="F97">
        <v>0</v>
      </c>
      <c r="G97" t="s">
        <v>425</v>
      </c>
    </row>
    <row r="98" spans="1:7" x14ac:dyDescent="0.25">
      <c r="A98">
        <v>102</v>
      </c>
      <c r="B98" t="s">
        <v>424</v>
      </c>
      <c r="D98" t="s">
        <v>193</v>
      </c>
      <c r="E98">
        <v>0</v>
      </c>
      <c r="F98">
        <v>0</v>
      </c>
      <c r="G98" t="s">
        <v>425</v>
      </c>
    </row>
    <row r="99" spans="1:7" x14ac:dyDescent="0.25">
      <c r="A99">
        <v>103</v>
      </c>
      <c r="B99" t="s">
        <v>426</v>
      </c>
      <c r="C99" t="s">
        <v>489</v>
      </c>
      <c r="D99" t="s">
        <v>490</v>
      </c>
      <c r="E99">
        <v>0</v>
      </c>
      <c r="F99">
        <v>0</v>
      </c>
      <c r="G99" t="s">
        <v>425</v>
      </c>
    </row>
    <row r="100" spans="1:7" x14ac:dyDescent="0.25">
      <c r="A100">
        <v>104</v>
      </c>
      <c r="B100" t="s">
        <v>426</v>
      </c>
      <c r="C100" t="s">
        <v>491</v>
      </c>
      <c r="D100" t="s">
        <v>492</v>
      </c>
      <c r="E100">
        <v>0</v>
      </c>
      <c r="F100">
        <v>0</v>
      </c>
      <c r="G100" t="s">
        <v>425</v>
      </c>
    </row>
    <row r="101" spans="1:7" x14ac:dyDescent="0.25">
      <c r="A101">
        <v>105</v>
      </c>
      <c r="B101" t="s">
        <v>426</v>
      </c>
      <c r="C101" t="s">
        <v>493</v>
      </c>
      <c r="D101" t="s">
        <v>494</v>
      </c>
      <c r="E101">
        <v>0</v>
      </c>
      <c r="F101">
        <v>0</v>
      </c>
      <c r="G101" t="s">
        <v>425</v>
      </c>
    </row>
    <row r="102" spans="1:7" x14ac:dyDescent="0.25">
      <c r="A102">
        <v>106</v>
      </c>
      <c r="B102" t="s">
        <v>426</v>
      </c>
      <c r="C102" t="s">
        <v>495</v>
      </c>
      <c r="D102" t="s">
        <v>496</v>
      </c>
      <c r="E102">
        <v>0</v>
      </c>
      <c r="F102">
        <v>0</v>
      </c>
      <c r="G102" t="s">
        <v>425</v>
      </c>
    </row>
    <row r="103" spans="1:7" x14ac:dyDescent="0.25">
      <c r="A103">
        <v>107</v>
      </c>
      <c r="B103" t="s">
        <v>426</v>
      </c>
      <c r="C103" t="s">
        <v>497</v>
      </c>
      <c r="D103" t="s">
        <v>498</v>
      </c>
      <c r="E103">
        <v>0</v>
      </c>
      <c r="F103">
        <v>0</v>
      </c>
      <c r="G103" t="s">
        <v>425</v>
      </c>
    </row>
    <row r="104" spans="1:7" x14ac:dyDescent="0.25">
      <c r="A104">
        <v>108</v>
      </c>
      <c r="B104" t="s">
        <v>426</v>
      </c>
      <c r="C104" t="s">
        <v>499</v>
      </c>
      <c r="D104" t="s">
        <v>500</v>
      </c>
      <c r="E104">
        <v>0</v>
      </c>
      <c r="F104">
        <v>0</v>
      </c>
      <c r="G104" t="s">
        <v>425</v>
      </c>
    </row>
    <row r="105" spans="1:7" x14ac:dyDescent="0.25">
      <c r="A105">
        <v>110</v>
      </c>
      <c r="B105" t="s">
        <v>424</v>
      </c>
      <c r="D105" t="s">
        <v>195</v>
      </c>
      <c r="E105">
        <v>91128.59</v>
      </c>
      <c r="F105">
        <v>3625366981</v>
      </c>
      <c r="G105" t="s">
        <v>425</v>
      </c>
    </row>
    <row r="106" spans="1:7" x14ac:dyDescent="0.25">
      <c r="A106">
        <v>111</v>
      </c>
      <c r="B106" t="s">
        <v>424</v>
      </c>
      <c r="D106" t="s">
        <v>197</v>
      </c>
      <c r="E106">
        <v>4933.6100000000006</v>
      </c>
      <c r="F106">
        <v>196505641</v>
      </c>
      <c r="G106" t="s">
        <v>425</v>
      </c>
    </row>
    <row r="107" spans="1:7" x14ac:dyDescent="0.25">
      <c r="A107">
        <v>112</v>
      </c>
      <c r="B107" t="s">
        <v>426</v>
      </c>
      <c r="C107" t="s">
        <v>199</v>
      </c>
      <c r="D107" t="s">
        <v>200</v>
      </c>
      <c r="E107">
        <v>2846.5500000000011</v>
      </c>
      <c r="F107">
        <v>113583842</v>
      </c>
      <c r="G107" t="s">
        <v>425</v>
      </c>
    </row>
    <row r="108" spans="1:7" x14ac:dyDescent="0.25">
      <c r="A108">
        <v>113</v>
      </c>
      <c r="B108" t="s">
        <v>426</v>
      </c>
      <c r="C108" t="s">
        <v>202</v>
      </c>
      <c r="D108" t="s">
        <v>203</v>
      </c>
      <c r="E108">
        <v>1151.1199999999999</v>
      </c>
      <c r="F108">
        <v>45732617</v>
      </c>
      <c r="G108" t="s">
        <v>425</v>
      </c>
    </row>
    <row r="109" spans="1:7" x14ac:dyDescent="0.25">
      <c r="A109">
        <v>114</v>
      </c>
      <c r="B109" t="s">
        <v>426</v>
      </c>
      <c r="C109" t="s">
        <v>205</v>
      </c>
      <c r="D109" t="s">
        <v>206</v>
      </c>
      <c r="E109">
        <v>65.930000000000007</v>
      </c>
      <c r="F109">
        <v>2619264</v>
      </c>
      <c r="G109" t="s">
        <v>425</v>
      </c>
    </row>
    <row r="110" spans="1:7" x14ac:dyDescent="0.25">
      <c r="A110">
        <v>115</v>
      </c>
      <c r="B110" t="s">
        <v>426</v>
      </c>
      <c r="C110" t="s">
        <v>208</v>
      </c>
      <c r="D110" t="s">
        <v>209</v>
      </c>
      <c r="E110">
        <v>785.06000000000006</v>
      </c>
      <c r="F110">
        <v>31195027</v>
      </c>
      <c r="G110" t="s">
        <v>425</v>
      </c>
    </row>
    <row r="111" spans="1:7" x14ac:dyDescent="0.25">
      <c r="A111">
        <v>116</v>
      </c>
      <c r="B111" t="s">
        <v>426</v>
      </c>
      <c r="C111" t="s">
        <v>211</v>
      </c>
      <c r="D111" t="s">
        <v>212</v>
      </c>
      <c r="E111">
        <v>33</v>
      </c>
      <c r="F111">
        <v>1311023</v>
      </c>
      <c r="G111" t="s">
        <v>425</v>
      </c>
    </row>
    <row r="112" spans="1:7" x14ac:dyDescent="0.25">
      <c r="A112">
        <v>117</v>
      </c>
      <c r="B112" t="s">
        <v>426</v>
      </c>
      <c r="C112" t="s">
        <v>214</v>
      </c>
      <c r="D112" t="s">
        <v>215</v>
      </c>
      <c r="E112">
        <v>51.95</v>
      </c>
      <c r="F112">
        <v>2063868</v>
      </c>
      <c r="G112" t="s">
        <v>425</v>
      </c>
    </row>
    <row r="113" spans="1:7" x14ac:dyDescent="0.25">
      <c r="A113">
        <v>118</v>
      </c>
      <c r="B113" t="s">
        <v>424</v>
      </c>
      <c r="D113" t="s">
        <v>217</v>
      </c>
      <c r="E113">
        <v>3783.57</v>
      </c>
      <c r="F113">
        <v>150542855</v>
      </c>
      <c r="G113" t="s">
        <v>425</v>
      </c>
    </row>
    <row r="114" spans="1:7" x14ac:dyDescent="0.25">
      <c r="A114">
        <v>119</v>
      </c>
      <c r="B114" t="s">
        <v>426</v>
      </c>
      <c r="C114" t="s">
        <v>219</v>
      </c>
      <c r="D114" t="s">
        <v>220</v>
      </c>
      <c r="E114">
        <v>1390.82</v>
      </c>
      <c r="F114">
        <v>55254441</v>
      </c>
      <c r="G114" t="s">
        <v>425</v>
      </c>
    </row>
    <row r="115" spans="1:7" x14ac:dyDescent="0.25">
      <c r="A115">
        <v>120</v>
      </c>
      <c r="B115" t="s">
        <v>426</v>
      </c>
      <c r="C115" t="s">
        <v>222</v>
      </c>
      <c r="D115" t="s">
        <v>223</v>
      </c>
      <c r="E115">
        <v>846.22</v>
      </c>
      <c r="F115">
        <v>33618594</v>
      </c>
      <c r="G115" t="s">
        <v>425</v>
      </c>
    </row>
    <row r="116" spans="1:7" x14ac:dyDescent="0.25">
      <c r="A116">
        <v>121</v>
      </c>
      <c r="B116" t="s">
        <v>426</v>
      </c>
      <c r="C116" t="s">
        <v>225</v>
      </c>
      <c r="D116" t="s">
        <v>226</v>
      </c>
      <c r="E116">
        <v>199.37</v>
      </c>
      <c r="F116">
        <v>7987205</v>
      </c>
      <c r="G116" t="s">
        <v>425</v>
      </c>
    </row>
    <row r="117" spans="1:7" x14ac:dyDescent="0.25">
      <c r="A117">
        <v>122</v>
      </c>
      <c r="B117" t="s">
        <v>426</v>
      </c>
      <c r="C117" t="s">
        <v>228</v>
      </c>
      <c r="D117" t="s">
        <v>229</v>
      </c>
      <c r="E117">
        <v>0.59</v>
      </c>
      <c r="F117">
        <v>23439</v>
      </c>
      <c r="G117" t="s">
        <v>425</v>
      </c>
    </row>
    <row r="118" spans="1:7" x14ac:dyDescent="0.25">
      <c r="A118">
        <v>123</v>
      </c>
      <c r="B118" t="s">
        <v>426</v>
      </c>
      <c r="C118" t="s">
        <v>231</v>
      </c>
      <c r="D118" t="s">
        <v>232</v>
      </c>
      <c r="E118">
        <v>61</v>
      </c>
      <c r="F118">
        <v>2423406</v>
      </c>
      <c r="G118" t="s">
        <v>425</v>
      </c>
    </row>
    <row r="119" spans="1:7" x14ac:dyDescent="0.25">
      <c r="A119">
        <v>124</v>
      </c>
      <c r="B119" t="s">
        <v>426</v>
      </c>
      <c r="C119" t="s">
        <v>234</v>
      </c>
      <c r="D119" t="s">
        <v>235</v>
      </c>
      <c r="E119">
        <v>831.54999999999984</v>
      </c>
      <c r="F119">
        <v>33167847</v>
      </c>
      <c r="G119" t="s">
        <v>425</v>
      </c>
    </row>
    <row r="120" spans="1:7" x14ac:dyDescent="0.25">
      <c r="A120">
        <v>125</v>
      </c>
      <c r="B120" t="s">
        <v>426</v>
      </c>
      <c r="C120" t="s">
        <v>237</v>
      </c>
      <c r="D120" t="s">
        <v>238</v>
      </c>
      <c r="E120">
        <v>398.31</v>
      </c>
      <c r="F120">
        <v>15850593</v>
      </c>
      <c r="G120" t="s">
        <v>425</v>
      </c>
    </row>
    <row r="121" spans="1:7" x14ac:dyDescent="0.25">
      <c r="A121">
        <v>126</v>
      </c>
      <c r="B121" t="s">
        <v>426</v>
      </c>
      <c r="C121" t="s">
        <v>240</v>
      </c>
      <c r="D121" t="s">
        <v>241</v>
      </c>
      <c r="E121">
        <v>55.71</v>
      </c>
      <c r="F121">
        <v>2217330</v>
      </c>
      <c r="G121" t="s">
        <v>425</v>
      </c>
    </row>
    <row r="122" spans="1:7" x14ac:dyDescent="0.25">
      <c r="A122">
        <v>127</v>
      </c>
      <c r="B122" t="s">
        <v>426</v>
      </c>
      <c r="C122" t="s">
        <v>501</v>
      </c>
      <c r="D122" t="s">
        <v>502</v>
      </c>
      <c r="E122">
        <v>0</v>
      </c>
      <c r="F122">
        <v>0</v>
      </c>
      <c r="G122" t="s">
        <v>425</v>
      </c>
    </row>
    <row r="123" spans="1:7" x14ac:dyDescent="0.25">
      <c r="A123">
        <v>128</v>
      </c>
      <c r="B123" t="s">
        <v>426</v>
      </c>
      <c r="C123" t="s">
        <v>503</v>
      </c>
      <c r="D123" t="s">
        <v>504</v>
      </c>
      <c r="E123">
        <v>0</v>
      </c>
      <c r="F123">
        <v>0</v>
      </c>
      <c r="G123" t="s">
        <v>425</v>
      </c>
    </row>
    <row r="124" spans="1:7" x14ac:dyDescent="0.25">
      <c r="A124">
        <v>129</v>
      </c>
      <c r="B124" t="s">
        <v>424</v>
      </c>
      <c r="D124" t="s">
        <v>243</v>
      </c>
      <c r="E124">
        <v>2389.1799999999998</v>
      </c>
      <c r="F124">
        <v>95292310</v>
      </c>
      <c r="G124" t="s">
        <v>425</v>
      </c>
    </row>
    <row r="125" spans="1:7" x14ac:dyDescent="0.25">
      <c r="A125">
        <v>130</v>
      </c>
      <c r="B125" t="s">
        <v>426</v>
      </c>
      <c r="C125" t="s">
        <v>245</v>
      </c>
      <c r="D125" t="s">
        <v>246</v>
      </c>
      <c r="E125">
        <v>2389.1799999999998</v>
      </c>
      <c r="F125">
        <v>95292310</v>
      </c>
      <c r="G125" t="s">
        <v>425</v>
      </c>
    </row>
    <row r="126" spans="1:7" x14ac:dyDescent="0.25">
      <c r="A126">
        <v>131</v>
      </c>
      <c r="B126" t="s">
        <v>424</v>
      </c>
      <c r="D126" t="s">
        <v>248</v>
      </c>
      <c r="E126">
        <v>16360</v>
      </c>
      <c r="F126">
        <v>651510665</v>
      </c>
      <c r="G126" t="s">
        <v>425</v>
      </c>
    </row>
    <row r="127" spans="1:7" x14ac:dyDescent="0.25">
      <c r="A127">
        <v>132</v>
      </c>
      <c r="B127" t="s">
        <v>426</v>
      </c>
      <c r="C127" t="s">
        <v>250</v>
      </c>
      <c r="D127" t="s">
        <v>251</v>
      </c>
      <c r="E127">
        <v>16360</v>
      </c>
      <c r="F127">
        <v>651510665</v>
      </c>
      <c r="G127" t="s">
        <v>425</v>
      </c>
    </row>
    <row r="128" spans="1:7" x14ac:dyDescent="0.25">
      <c r="A128">
        <v>133</v>
      </c>
      <c r="B128" t="s">
        <v>424</v>
      </c>
      <c r="D128" t="s">
        <v>253</v>
      </c>
      <c r="E128">
        <v>0</v>
      </c>
      <c r="F128">
        <v>0</v>
      </c>
      <c r="G128" t="s">
        <v>425</v>
      </c>
    </row>
    <row r="129" spans="1:7" x14ac:dyDescent="0.25">
      <c r="A129">
        <v>134</v>
      </c>
      <c r="B129" t="s">
        <v>426</v>
      </c>
      <c r="C129" t="s">
        <v>505</v>
      </c>
      <c r="D129" t="s">
        <v>506</v>
      </c>
      <c r="E129">
        <v>0</v>
      </c>
      <c r="F129">
        <v>0</v>
      </c>
      <c r="G129" t="s">
        <v>425</v>
      </c>
    </row>
    <row r="130" spans="1:7" x14ac:dyDescent="0.25">
      <c r="A130">
        <v>135</v>
      </c>
      <c r="B130" t="s">
        <v>426</v>
      </c>
      <c r="C130" t="s">
        <v>507</v>
      </c>
      <c r="D130" t="s">
        <v>508</v>
      </c>
      <c r="E130">
        <v>0</v>
      </c>
      <c r="F130">
        <v>0</v>
      </c>
      <c r="G130" t="s">
        <v>425</v>
      </c>
    </row>
    <row r="131" spans="1:7" x14ac:dyDescent="0.25">
      <c r="A131">
        <v>136</v>
      </c>
      <c r="B131" t="s">
        <v>426</v>
      </c>
      <c r="C131" t="s">
        <v>509</v>
      </c>
      <c r="D131" t="s">
        <v>510</v>
      </c>
      <c r="E131">
        <v>0</v>
      </c>
      <c r="F131">
        <v>0</v>
      </c>
      <c r="G131" t="s">
        <v>425</v>
      </c>
    </row>
    <row r="132" spans="1:7" x14ac:dyDescent="0.25">
      <c r="A132">
        <v>137</v>
      </c>
      <c r="B132" t="s">
        <v>424</v>
      </c>
      <c r="D132" t="s">
        <v>255</v>
      </c>
      <c r="E132">
        <v>62475.649999999987</v>
      </c>
      <c r="F132">
        <v>2484228808</v>
      </c>
      <c r="G132" t="s">
        <v>425</v>
      </c>
    </row>
    <row r="133" spans="1:7" x14ac:dyDescent="0.25">
      <c r="A133">
        <v>138</v>
      </c>
      <c r="B133" t="s">
        <v>426</v>
      </c>
      <c r="C133" t="s">
        <v>257</v>
      </c>
      <c r="D133" t="s">
        <v>258</v>
      </c>
      <c r="E133">
        <v>166.54</v>
      </c>
      <c r="F133">
        <v>6618144</v>
      </c>
      <c r="G133" t="s">
        <v>425</v>
      </c>
    </row>
    <row r="134" spans="1:7" x14ac:dyDescent="0.25">
      <c r="A134">
        <v>139</v>
      </c>
      <c r="B134" t="s">
        <v>426</v>
      </c>
      <c r="C134" t="s">
        <v>260</v>
      </c>
      <c r="D134" t="s">
        <v>261</v>
      </c>
      <c r="E134">
        <v>4059.8799999999992</v>
      </c>
      <c r="F134">
        <v>161416844</v>
      </c>
      <c r="G134" t="s">
        <v>425</v>
      </c>
    </row>
    <row r="135" spans="1:7" x14ac:dyDescent="0.25">
      <c r="A135">
        <v>140</v>
      </c>
      <c r="B135" t="s">
        <v>426</v>
      </c>
      <c r="C135" t="s">
        <v>263</v>
      </c>
      <c r="D135" t="s">
        <v>264</v>
      </c>
      <c r="E135">
        <v>496.50999999999988</v>
      </c>
      <c r="F135">
        <v>19763791</v>
      </c>
      <c r="G135" t="s">
        <v>425</v>
      </c>
    </row>
    <row r="136" spans="1:7" x14ac:dyDescent="0.25">
      <c r="A136">
        <v>141</v>
      </c>
      <c r="B136" t="s">
        <v>426</v>
      </c>
      <c r="C136" t="s">
        <v>266</v>
      </c>
      <c r="D136" t="s">
        <v>267</v>
      </c>
      <c r="E136">
        <v>439.71</v>
      </c>
      <c r="F136">
        <v>17604147</v>
      </c>
      <c r="G136" t="s">
        <v>425</v>
      </c>
    </row>
    <row r="137" spans="1:7" x14ac:dyDescent="0.25">
      <c r="A137">
        <v>142</v>
      </c>
      <c r="B137" t="s">
        <v>426</v>
      </c>
      <c r="C137" t="s">
        <v>269</v>
      </c>
      <c r="D137" t="s">
        <v>270</v>
      </c>
      <c r="E137">
        <v>13192.8</v>
      </c>
      <c r="F137">
        <v>524235433</v>
      </c>
      <c r="G137" t="s">
        <v>425</v>
      </c>
    </row>
    <row r="138" spans="1:7" x14ac:dyDescent="0.25">
      <c r="A138">
        <v>143</v>
      </c>
      <c r="B138" t="s">
        <v>426</v>
      </c>
      <c r="C138" t="s">
        <v>272</v>
      </c>
      <c r="D138" t="s">
        <v>273</v>
      </c>
      <c r="E138">
        <v>40856.04</v>
      </c>
      <c r="F138">
        <v>1623127123</v>
      </c>
      <c r="G138" t="s">
        <v>425</v>
      </c>
    </row>
    <row r="139" spans="1:7" x14ac:dyDescent="0.25">
      <c r="A139">
        <v>144</v>
      </c>
      <c r="B139" t="s">
        <v>426</v>
      </c>
      <c r="C139" t="s">
        <v>275</v>
      </c>
      <c r="D139" t="s">
        <v>276</v>
      </c>
      <c r="E139">
        <v>3264.17</v>
      </c>
      <c r="F139">
        <v>131463326</v>
      </c>
      <c r="G139" t="s">
        <v>425</v>
      </c>
    </row>
    <row r="140" spans="1:7" x14ac:dyDescent="0.25">
      <c r="A140">
        <v>145</v>
      </c>
      <c r="B140" t="s">
        <v>426</v>
      </c>
      <c r="C140" t="s">
        <v>511</v>
      </c>
      <c r="D140" t="s">
        <v>512</v>
      </c>
      <c r="E140">
        <v>0</v>
      </c>
      <c r="F140">
        <v>0</v>
      </c>
      <c r="G140" t="s">
        <v>425</v>
      </c>
    </row>
    <row r="141" spans="1:7" x14ac:dyDescent="0.25">
      <c r="A141">
        <v>146</v>
      </c>
      <c r="B141" t="s">
        <v>424</v>
      </c>
      <c r="D141" t="s">
        <v>278</v>
      </c>
      <c r="E141">
        <v>1186.58</v>
      </c>
      <c r="F141">
        <v>47286702</v>
      </c>
      <c r="G141" t="s">
        <v>425</v>
      </c>
    </row>
    <row r="142" spans="1:7" x14ac:dyDescent="0.25">
      <c r="A142">
        <v>147</v>
      </c>
      <c r="B142" t="s">
        <v>426</v>
      </c>
      <c r="C142" t="s">
        <v>280</v>
      </c>
      <c r="D142" t="s">
        <v>281</v>
      </c>
      <c r="E142">
        <v>293.84000000000009</v>
      </c>
      <c r="F142">
        <v>11722174</v>
      </c>
      <c r="G142" t="s">
        <v>425</v>
      </c>
    </row>
    <row r="143" spans="1:7" x14ac:dyDescent="0.25">
      <c r="A143">
        <v>148</v>
      </c>
      <c r="B143" t="s">
        <v>426</v>
      </c>
      <c r="C143" t="s">
        <v>283</v>
      </c>
      <c r="D143" t="s">
        <v>284</v>
      </c>
      <c r="E143">
        <v>86.740000000000009</v>
      </c>
      <c r="F143">
        <v>3455499</v>
      </c>
      <c r="G143" t="s">
        <v>425</v>
      </c>
    </row>
    <row r="144" spans="1:7" x14ac:dyDescent="0.25">
      <c r="A144">
        <v>149</v>
      </c>
      <c r="B144" t="s">
        <v>426</v>
      </c>
      <c r="C144" t="s">
        <v>286</v>
      </c>
      <c r="D144" t="s">
        <v>287</v>
      </c>
      <c r="E144">
        <v>806</v>
      </c>
      <c r="F144">
        <v>32109029</v>
      </c>
      <c r="G144" t="s">
        <v>425</v>
      </c>
    </row>
    <row r="145" spans="1:7" x14ac:dyDescent="0.25">
      <c r="A145">
        <v>150</v>
      </c>
      <c r="B145" t="s">
        <v>424</v>
      </c>
      <c r="D145" t="s">
        <v>189</v>
      </c>
      <c r="E145">
        <v>0</v>
      </c>
      <c r="F145">
        <v>0</v>
      </c>
      <c r="G145" t="s">
        <v>425</v>
      </c>
    </row>
    <row r="146" spans="1:7" x14ac:dyDescent="0.25">
      <c r="A146">
        <v>151</v>
      </c>
      <c r="B146" t="s">
        <v>426</v>
      </c>
      <c r="C146" t="s">
        <v>513</v>
      </c>
      <c r="D146" t="s">
        <v>191</v>
      </c>
      <c r="E146">
        <v>0</v>
      </c>
      <c r="F146">
        <v>0</v>
      </c>
      <c r="G146" t="s">
        <v>425</v>
      </c>
    </row>
    <row r="147" spans="1:7" x14ac:dyDescent="0.25">
      <c r="A147">
        <v>152</v>
      </c>
      <c r="B147" t="s">
        <v>426</v>
      </c>
      <c r="C147" t="s">
        <v>514</v>
      </c>
      <c r="D147" t="s">
        <v>515</v>
      </c>
      <c r="E147">
        <v>0</v>
      </c>
      <c r="F147">
        <v>0</v>
      </c>
      <c r="G147" t="s">
        <v>425</v>
      </c>
    </row>
    <row r="148" spans="1:7" x14ac:dyDescent="0.25">
      <c r="A148">
        <v>153</v>
      </c>
      <c r="B148" t="s">
        <v>424</v>
      </c>
      <c r="D148" t="s">
        <v>290</v>
      </c>
      <c r="E148">
        <v>0</v>
      </c>
      <c r="F148">
        <v>0</v>
      </c>
      <c r="G148" t="s">
        <v>425</v>
      </c>
    </row>
    <row r="149" spans="1:7" x14ac:dyDescent="0.25">
      <c r="A149">
        <v>154</v>
      </c>
      <c r="B149" t="s">
        <v>426</v>
      </c>
      <c r="C149" t="s">
        <v>516</v>
      </c>
      <c r="D149" t="s">
        <v>517</v>
      </c>
      <c r="E149">
        <v>0</v>
      </c>
      <c r="F149">
        <v>0</v>
      </c>
      <c r="G149" t="s">
        <v>425</v>
      </c>
    </row>
    <row r="150" spans="1:7" x14ac:dyDescent="0.25">
      <c r="A150">
        <v>155</v>
      </c>
      <c r="B150" t="s">
        <v>426</v>
      </c>
      <c r="C150" t="s">
        <v>518</v>
      </c>
      <c r="D150" t="s">
        <v>519</v>
      </c>
      <c r="E150">
        <v>0</v>
      </c>
      <c r="F150">
        <v>0</v>
      </c>
      <c r="G150" t="s">
        <v>425</v>
      </c>
    </row>
    <row r="151" spans="1:7" x14ac:dyDescent="0.25">
      <c r="A151">
        <v>156</v>
      </c>
      <c r="B151" t="s">
        <v>424</v>
      </c>
      <c r="D151" t="s">
        <v>292</v>
      </c>
      <c r="E151">
        <v>0</v>
      </c>
      <c r="F151">
        <v>0</v>
      </c>
      <c r="G151" t="s">
        <v>425</v>
      </c>
    </row>
    <row r="152" spans="1:7" x14ac:dyDescent="0.25">
      <c r="A152">
        <v>157</v>
      </c>
      <c r="B152" t="s">
        <v>426</v>
      </c>
      <c r="C152" t="s">
        <v>520</v>
      </c>
      <c r="D152" t="s">
        <v>521</v>
      </c>
      <c r="E152">
        <v>0</v>
      </c>
      <c r="F152">
        <v>0</v>
      </c>
      <c r="G152" t="s">
        <v>425</v>
      </c>
    </row>
    <row r="153" spans="1:7" x14ac:dyDescent="0.25">
      <c r="A153">
        <v>159</v>
      </c>
      <c r="B153" t="s">
        <v>424</v>
      </c>
      <c r="D153" t="s">
        <v>294</v>
      </c>
      <c r="E153">
        <v>749973.99999999988</v>
      </c>
      <c r="F153">
        <v>29864386010</v>
      </c>
      <c r="G153" t="s">
        <v>425</v>
      </c>
    </row>
    <row r="154" spans="1:7" x14ac:dyDescent="0.25">
      <c r="A154">
        <v>161</v>
      </c>
      <c r="B154" t="s">
        <v>424</v>
      </c>
      <c r="D154" t="s">
        <v>296</v>
      </c>
      <c r="E154">
        <v>0</v>
      </c>
      <c r="F154">
        <v>0</v>
      </c>
      <c r="G154" t="s">
        <v>425</v>
      </c>
    </row>
    <row r="155" spans="1:7" x14ac:dyDescent="0.25">
      <c r="A155">
        <v>162</v>
      </c>
      <c r="B155" t="s">
        <v>426</v>
      </c>
      <c r="C155" t="s">
        <v>522</v>
      </c>
      <c r="D155" t="s">
        <v>523</v>
      </c>
      <c r="E155">
        <v>0</v>
      </c>
      <c r="F155">
        <v>0</v>
      </c>
      <c r="G155" t="s">
        <v>425</v>
      </c>
    </row>
    <row r="156" spans="1:7" x14ac:dyDescent="0.25">
      <c r="A156">
        <v>163</v>
      </c>
      <c r="B156" t="s">
        <v>424</v>
      </c>
      <c r="D156" t="s">
        <v>298</v>
      </c>
      <c r="E156">
        <v>0</v>
      </c>
      <c r="F156">
        <v>0</v>
      </c>
      <c r="G156" t="s">
        <v>425</v>
      </c>
    </row>
    <row r="157" spans="1:7" x14ac:dyDescent="0.25">
      <c r="A157">
        <v>164</v>
      </c>
      <c r="B157" t="s">
        <v>426</v>
      </c>
      <c r="C157" t="s">
        <v>524</v>
      </c>
      <c r="D157" t="s">
        <v>525</v>
      </c>
      <c r="E157">
        <v>0</v>
      </c>
      <c r="F157">
        <v>0</v>
      </c>
      <c r="G157" t="s">
        <v>425</v>
      </c>
    </row>
    <row r="158" spans="1:7" x14ac:dyDescent="0.25">
      <c r="A158">
        <v>165</v>
      </c>
      <c r="B158" t="s">
        <v>426</v>
      </c>
      <c r="C158" t="s">
        <v>526</v>
      </c>
      <c r="D158" t="s">
        <v>527</v>
      </c>
      <c r="E158">
        <v>0</v>
      </c>
      <c r="F158">
        <v>0</v>
      </c>
      <c r="G158" t="s">
        <v>425</v>
      </c>
    </row>
    <row r="159" spans="1:7" x14ac:dyDescent="0.25">
      <c r="A159">
        <v>166</v>
      </c>
      <c r="B159" t="s">
        <v>424</v>
      </c>
      <c r="D159" t="s">
        <v>300</v>
      </c>
      <c r="E159">
        <v>-6420.4099999999889</v>
      </c>
      <c r="F159">
        <v>-255494051</v>
      </c>
      <c r="G159" t="s">
        <v>425</v>
      </c>
    </row>
    <row r="160" spans="1:7" x14ac:dyDescent="0.25">
      <c r="A160">
        <v>167</v>
      </c>
      <c r="B160" t="s">
        <v>426</v>
      </c>
      <c r="C160" t="s">
        <v>302</v>
      </c>
      <c r="D160" t="s">
        <v>303</v>
      </c>
      <c r="E160">
        <v>-6420.4099999999889</v>
      </c>
      <c r="F160">
        <v>-255494051</v>
      </c>
      <c r="G160" t="s">
        <v>425</v>
      </c>
    </row>
    <row r="161" spans="1:7" x14ac:dyDescent="0.25">
      <c r="A161">
        <v>168</v>
      </c>
      <c r="B161" t="s">
        <v>426</v>
      </c>
      <c r="C161" t="s">
        <v>528</v>
      </c>
      <c r="D161" t="s">
        <v>529</v>
      </c>
      <c r="E161">
        <v>0</v>
      </c>
      <c r="F161">
        <v>0</v>
      </c>
      <c r="G161" t="s">
        <v>425</v>
      </c>
    </row>
    <row r="162" spans="1:7" x14ac:dyDescent="0.25">
      <c r="A162">
        <v>169</v>
      </c>
      <c r="B162" t="s">
        <v>426</v>
      </c>
      <c r="C162" t="s">
        <v>530</v>
      </c>
      <c r="D162" t="s">
        <v>531</v>
      </c>
      <c r="E162">
        <v>0</v>
      </c>
      <c r="F162">
        <v>0</v>
      </c>
      <c r="G162" t="s">
        <v>425</v>
      </c>
    </row>
    <row r="163" spans="1:7" x14ac:dyDescent="0.25">
      <c r="A163">
        <v>170</v>
      </c>
      <c r="B163" t="s">
        <v>424</v>
      </c>
      <c r="D163" t="s">
        <v>305</v>
      </c>
      <c r="E163">
        <v>0</v>
      </c>
      <c r="F163">
        <v>0</v>
      </c>
      <c r="G163" t="s">
        <v>425</v>
      </c>
    </row>
    <row r="164" spans="1:7" x14ac:dyDescent="0.25">
      <c r="A164">
        <v>171</v>
      </c>
      <c r="B164" t="s">
        <v>426</v>
      </c>
      <c r="C164" t="s">
        <v>532</v>
      </c>
      <c r="D164" t="s">
        <v>533</v>
      </c>
      <c r="E164">
        <v>0</v>
      </c>
      <c r="F164">
        <v>0</v>
      </c>
      <c r="G164" t="s">
        <v>425</v>
      </c>
    </row>
    <row r="165" spans="1:7" x14ac:dyDescent="0.25">
      <c r="A165">
        <v>172</v>
      </c>
      <c r="B165" t="s">
        <v>426</v>
      </c>
      <c r="C165" t="s">
        <v>534</v>
      </c>
      <c r="D165" t="s">
        <v>535</v>
      </c>
      <c r="E165">
        <v>0</v>
      </c>
      <c r="F165">
        <v>0</v>
      </c>
      <c r="G165" t="s">
        <v>425</v>
      </c>
    </row>
    <row r="166" spans="1:7" x14ac:dyDescent="0.25">
      <c r="A166">
        <v>173</v>
      </c>
      <c r="B166" t="s">
        <v>424</v>
      </c>
      <c r="D166" t="s">
        <v>307</v>
      </c>
      <c r="E166">
        <v>0</v>
      </c>
      <c r="F166">
        <v>0</v>
      </c>
      <c r="G166" t="s">
        <v>425</v>
      </c>
    </row>
    <row r="167" spans="1:7" x14ac:dyDescent="0.25">
      <c r="A167">
        <v>174</v>
      </c>
      <c r="B167" t="s">
        <v>426</v>
      </c>
      <c r="C167" t="s">
        <v>309</v>
      </c>
      <c r="D167" t="s">
        <v>536</v>
      </c>
      <c r="E167">
        <v>0</v>
      </c>
      <c r="F167">
        <v>0</v>
      </c>
      <c r="G167" t="s">
        <v>425</v>
      </c>
    </row>
    <row r="168" spans="1:7" x14ac:dyDescent="0.25">
      <c r="A168">
        <v>175</v>
      </c>
      <c r="B168" t="s">
        <v>426</v>
      </c>
      <c r="C168" t="s">
        <v>537</v>
      </c>
      <c r="D168" t="s">
        <v>538</v>
      </c>
      <c r="E168">
        <v>0</v>
      </c>
      <c r="F168">
        <v>0</v>
      </c>
      <c r="G168" t="s">
        <v>425</v>
      </c>
    </row>
    <row r="169" spans="1:7" x14ac:dyDescent="0.25">
      <c r="A169">
        <v>176</v>
      </c>
      <c r="B169" t="s">
        <v>426</v>
      </c>
      <c r="C169" t="s">
        <v>539</v>
      </c>
      <c r="D169" t="s">
        <v>540</v>
      </c>
      <c r="E169">
        <v>0</v>
      </c>
      <c r="F169">
        <v>0</v>
      </c>
      <c r="G169" t="s">
        <v>425</v>
      </c>
    </row>
    <row r="170" spans="1:7" x14ac:dyDescent="0.25">
      <c r="A170">
        <v>177</v>
      </c>
      <c r="B170" t="s">
        <v>424</v>
      </c>
      <c r="D170" t="s">
        <v>312</v>
      </c>
      <c r="E170">
        <v>0</v>
      </c>
      <c r="F170">
        <v>0</v>
      </c>
      <c r="G170" t="s">
        <v>425</v>
      </c>
    </row>
    <row r="171" spans="1:7" x14ac:dyDescent="0.25">
      <c r="A171">
        <v>178</v>
      </c>
      <c r="B171" t="s">
        <v>426</v>
      </c>
      <c r="C171" t="s">
        <v>541</v>
      </c>
      <c r="D171" t="s">
        <v>542</v>
      </c>
      <c r="E171">
        <v>0</v>
      </c>
      <c r="F171">
        <v>0</v>
      </c>
      <c r="G171" t="s">
        <v>425</v>
      </c>
    </row>
    <row r="172" spans="1:7" x14ac:dyDescent="0.25">
      <c r="A172">
        <v>179</v>
      </c>
      <c r="B172" t="s">
        <v>424</v>
      </c>
      <c r="D172" t="s">
        <v>314</v>
      </c>
      <c r="E172">
        <v>-7.4500000000000028</v>
      </c>
      <c r="F172">
        <v>-292389</v>
      </c>
      <c r="G172" t="s">
        <v>425</v>
      </c>
    </row>
    <row r="173" spans="1:7" x14ac:dyDescent="0.25">
      <c r="A173">
        <v>180</v>
      </c>
      <c r="B173" t="s">
        <v>426</v>
      </c>
      <c r="C173" t="s">
        <v>543</v>
      </c>
      <c r="D173" t="s">
        <v>544</v>
      </c>
      <c r="E173">
        <v>0</v>
      </c>
      <c r="F173">
        <v>0</v>
      </c>
      <c r="G173" t="s">
        <v>425</v>
      </c>
    </row>
    <row r="174" spans="1:7" x14ac:dyDescent="0.25">
      <c r="A174">
        <v>181</v>
      </c>
      <c r="B174" t="s">
        <v>426</v>
      </c>
      <c r="C174" t="s">
        <v>545</v>
      </c>
      <c r="D174" t="s">
        <v>546</v>
      </c>
      <c r="E174">
        <v>0</v>
      </c>
      <c r="F174">
        <v>0</v>
      </c>
      <c r="G174" t="s">
        <v>425</v>
      </c>
    </row>
    <row r="175" spans="1:7" x14ac:dyDescent="0.25">
      <c r="A175">
        <v>182</v>
      </c>
      <c r="B175" t="s">
        <v>426</v>
      </c>
      <c r="C175" t="s">
        <v>547</v>
      </c>
      <c r="D175" t="s">
        <v>548</v>
      </c>
      <c r="E175">
        <v>0</v>
      </c>
      <c r="F175">
        <v>0</v>
      </c>
      <c r="G175" t="s">
        <v>425</v>
      </c>
    </row>
    <row r="176" spans="1:7" x14ac:dyDescent="0.25">
      <c r="A176">
        <v>183</v>
      </c>
      <c r="B176" t="s">
        <v>426</v>
      </c>
      <c r="C176" t="s">
        <v>549</v>
      </c>
      <c r="D176" t="s">
        <v>550</v>
      </c>
      <c r="E176">
        <v>0</v>
      </c>
      <c r="F176">
        <v>0</v>
      </c>
      <c r="G176" t="s">
        <v>425</v>
      </c>
    </row>
    <row r="177" spans="1:7" x14ac:dyDescent="0.25">
      <c r="A177">
        <v>184</v>
      </c>
      <c r="B177" t="s">
        <v>426</v>
      </c>
      <c r="C177" t="s">
        <v>551</v>
      </c>
      <c r="D177" t="s">
        <v>552</v>
      </c>
      <c r="E177">
        <v>0</v>
      </c>
      <c r="F177">
        <v>0</v>
      </c>
      <c r="G177" t="s">
        <v>425</v>
      </c>
    </row>
    <row r="178" spans="1:7" x14ac:dyDescent="0.25">
      <c r="A178">
        <v>185</v>
      </c>
      <c r="B178" t="s">
        <v>426</v>
      </c>
      <c r="C178" t="s">
        <v>553</v>
      </c>
      <c r="D178" t="s">
        <v>554</v>
      </c>
      <c r="E178">
        <v>0</v>
      </c>
      <c r="F178">
        <v>0</v>
      </c>
      <c r="G178" t="s">
        <v>425</v>
      </c>
    </row>
    <row r="179" spans="1:7" x14ac:dyDescent="0.25">
      <c r="A179">
        <v>186</v>
      </c>
      <c r="B179" t="s">
        <v>426</v>
      </c>
      <c r="C179" t="s">
        <v>316</v>
      </c>
      <c r="D179" t="s">
        <v>317</v>
      </c>
      <c r="E179">
        <v>-0.79999999999999716</v>
      </c>
      <c r="F179">
        <v>-32389</v>
      </c>
      <c r="G179" t="s">
        <v>425</v>
      </c>
    </row>
    <row r="180" spans="1:7" x14ac:dyDescent="0.25">
      <c r="A180">
        <v>187</v>
      </c>
      <c r="B180" t="s">
        <v>426</v>
      </c>
      <c r="C180" t="s">
        <v>555</v>
      </c>
      <c r="D180" t="s">
        <v>556</v>
      </c>
      <c r="E180">
        <v>0</v>
      </c>
      <c r="F180">
        <v>0</v>
      </c>
      <c r="G180" t="s">
        <v>425</v>
      </c>
    </row>
    <row r="181" spans="1:7" x14ac:dyDescent="0.25">
      <c r="A181">
        <v>188</v>
      </c>
      <c r="B181" t="s">
        <v>426</v>
      </c>
      <c r="C181" t="s">
        <v>557</v>
      </c>
      <c r="D181" t="s">
        <v>558</v>
      </c>
      <c r="E181">
        <v>0</v>
      </c>
      <c r="F181">
        <v>0</v>
      </c>
      <c r="G181" t="s">
        <v>425</v>
      </c>
    </row>
    <row r="182" spans="1:7" x14ac:dyDescent="0.25">
      <c r="A182">
        <v>189</v>
      </c>
      <c r="B182" t="s">
        <v>426</v>
      </c>
      <c r="C182" t="s">
        <v>319</v>
      </c>
      <c r="D182" t="s">
        <v>320</v>
      </c>
      <c r="E182">
        <v>-6.6500000000000057</v>
      </c>
      <c r="F182">
        <v>-260000</v>
      </c>
      <c r="G182" t="s">
        <v>425</v>
      </c>
    </row>
    <row r="183" spans="1:7" x14ac:dyDescent="0.25">
      <c r="A183">
        <v>190</v>
      </c>
      <c r="B183" t="s">
        <v>424</v>
      </c>
      <c r="D183" t="s">
        <v>322</v>
      </c>
      <c r="E183">
        <v>-362013</v>
      </c>
      <c r="F183">
        <v>-14398129489</v>
      </c>
      <c r="G183" t="s">
        <v>425</v>
      </c>
    </row>
    <row r="184" spans="1:7" x14ac:dyDescent="0.25">
      <c r="A184">
        <v>191</v>
      </c>
      <c r="B184" t="s">
        <v>426</v>
      </c>
      <c r="C184" t="s">
        <v>559</v>
      </c>
      <c r="D184" t="s">
        <v>560</v>
      </c>
      <c r="E184">
        <v>0</v>
      </c>
      <c r="F184">
        <v>0</v>
      </c>
      <c r="G184" t="s">
        <v>425</v>
      </c>
    </row>
    <row r="185" spans="1:7" x14ac:dyDescent="0.25">
      <c r="A185">
        <v>192</v>
      </c>
      <c r="B185" t="s">
        <v>426</v>
      </c>
      <c r="C185" t="s">
        <v>324</v>
      </c>
      <c r="D185" t="s">
        <v>325</v>
      </c>
      <c r="E185">
        <v>-362013</v>
      </c>
      <c r="F185">
        <v>-14398129489</v>
      </c>
      <c r="G185" t="s">
        <v>425</v>
      </c>
    </row>
    <row r="186" spans="1:7" x14ac:dyDescent="0.25">
      <c r="A186">
        <v>193</v>
      </c>
      <c r="B186" t="s">
        <v>424</v>
      </c>
      <c r="D186" t="s">
        <v>327</v>
      </c>
      <c r="E186">
        <v>-47593.15</v>
      </c>
      <c r="F186">
        <v>-1890821485</v>
      </c>
      <c r="G186" t="s">
        <v>425</v>
      </c>
    </row>
    <row r="187" spans="1:7" x14ac:dyDescent="0.25">
      <c r="A187">
        <v>194</v>
      </c>
      <c r="B187" t="s">
        <v>426</v>
      </c>
      <c r="C187" t="s">
        <v>329</v>
      </c>
      <c r="D187" t="s">
        <v>330</v>
      </c>
      <c r="E187">
        <v>-47267</v>
      </c>
      <c r="F187">
        <v>-1877821485</v>
      </c>
      <c r="G187" t="s">
        <v>425</v>
      </c>
    </row>
    <row r="188" spans="1:7" x14ac:dyDescent="0.25">
      <c r="A188">
        <v>195</v>
      </c>
      <c r="B188" t="s">
        <v>426</v>
      </c>
      <c r="C188" t="s">
        <v>332</v>
      </c>
      <c r="D188" t="s">
        <v>333</v>
      </c>
      <c r="E188">
        <v>-326.14999999999998</v>
      </c>
      <c r="F188">
        <v>-13000000</v>
      </c>
      <c r="G188" t="s">
        <v>425</v>
      </c>
    </row>
    <row r="189" spans="1:7" x14ac:dyDescent="0.25">
      <c r="A189">
        <v>196</v>
      </c>
      <c r="B189" t="s">
        <v>424</v>
      </c>
      <c r="D189" t="s">
        <v>335</v>
      </c>
      <c r="E189">
        <v>-164250.74</v>
      </c>
      <c r="F189">
        <v>-6525346829</v>
      </c>
      <c r="G189" t="s">
        <v>425</v>
      </c>
    </row>
    <row r="190" spans="1:7" x14ac:dyDescent="0.25">
      <c r="A190">
        <v>197</v>
      </c>
      <c r="B190" t="s">
        <v>426</v>
      </c>
      <c r="C190" t="s">
        <v>337</v>
      </c>
      <c r="D190" t="s">
        <v>338</v>
      </c>
      <c r="E190">
        <v>0</v>
      </c>
      <c r="F190">
        <v>0</v>
      </c>
      <c r="G190" t="s">
        <v>425</v>
      </c>
    </row>
    <row r="191" spans="1:7" x14ac:dyDescent="0.25">
      <c r="A191">
        <v>198</v>
      </c>
      <c r="B191" t="s">
        <v>426</v>
      </c>
      <c r="C191" t="s">
        <v>340</v>
      </c>
      <c r="D191" t="s">
        <v>341</v>
      </c>
      <c r="E191">
        <v>0</v>
      </c>
      <c r="F191">
        <v>0</v>
      </c>
      <c r="G191" t="s">
        <v>425</v>
      </c>
    </row>
    <row r="192" spans="1:7" x14ac:dyDescent="0.25">
      <c r="A192">
        <v>199</v>
      </c>
      <c r="B192" t="s">
        <v>426</v>
      </c>
      <c r="C192" t="s">
        <v>343</v>
      </c>
      <c r="D192" t="s">
        <v>344</v>
      </c>
      <c r="E192">
        <v>0</v>
      </c>
      <c r="F192">
        <v>0</v>
      </c>
      <c r="G192" t="s">
        <v>425</v>
      </c>
    </row>
    <row r="193" spans="1:7" x14ac:dyDescent="0.25">
      <c r="A193">
        <v>200</v>
      </c>
      <c r="B193" t="s">
        <v>426</v>
      </c>
      <c r="C193" t="s">
        <v>561</v>
      </c>
      <c r="D193" t="s">
        <v>536</v>
      </c>
      <c r="E193">
        <v>0</v>
      </c>
      <c r="F193">
        <v>0</v>
      </c>
      <c r="G193" t="s">
        <v>425</v>
      </c>
    </row>
    <row r="194" spans="1:7" x14ac:dyDescent="0.25">
      <c r="A194">
        <v>201</v>
      </c>
      <c r="B194" t="s">
        <v>426</v>
      </c>
      <c r="C194" t="s">
        <v>346</v>
      </c>
      <c r="D194" t="s">
        <v>347</v>
      </c>
      <c r="E194">
        <v>0</v>
      </c>
      <c r="F194">
        <v>0</v>
      </c>
      <c r="G194" t="s">
        <v>425</v>
      </c>
    </row>
    <row r="195" spans="1:7" x14ac:dyDescent="0.25">
      <c r="A195">
        <v>202</v>
      </c>
      <c r="B195" t="s">
        <v>426</v>
      </c>
      <c r="C195" t="s">
        <v>349</v>
      </c>
      <c r="D195" t="s">
        <v>51</v>
      </c>
      <c r="E195">
        <v>-164250.74</v>
      </c>
      <c r="F195">
        <v>-6525346829</v>
      </c>
      <c r="G195" t="s">
        <v>425</v>
      </c>
    </row>
    <row r="196" spans="1:7" x14ac:dyDescent="0.25">
      <c r="A196">
        <v>203</v>
      </c>
      <c r="B196" t="s">
        <v>426</v>
      </c>
      <c r="C196" t="s">
        <v>352</v>
      </c>
      <c r="D196" t="s">
        <v>562</v>
      </c>
      <c r="E196">
        <v>0</v>
      </c>
      <c r="F196">
        <v>0</v>
      </c>
      <c r="G196" t="s">
        <v>425</v>
      </c>
    </row>
    <row r="197" spans="1:7" x14ac:dyDescent="0.25">
      <c r="A197">
        <v>204</v>
      </c>
      <c r="B197" t="s">
        <v>424</v>
      </c>
      <c r="D197" t="s">
        <v>355</v>
      </c>
      <c r="E197">
        <v>-161662.15</v>
      </c>
      <c r="F197">
        <v>-6473936702</v>
      </c>
      <c r="G197" t="s">
        <v>425</v>
      </c>
    </row>
    <row r="198" spans="1:7" x14ac:dyDescent="0.25">
      <c r="A198">
        <v>205</v>
      </c>
      <c r="B198" t="s">
        <v>426</v>
      </c>
      <c r="C198" t="s">
        <v>357</v>
      </c>
      <c r="D198" t="s">
        <v>358</v>
      </c>
      <c r="E198">
        <v>-161662.15</v>
      </c>
      <c r="F198">
        <v>-6473936702</v>
      </c>
      <c r="G198" t="s">
        <v>425</v>
      </c>
    </row>
    <row r="199" spans="1:7" x14ac:dyDescent="0.25">
      <c r="A199">
        <v>206</v>
      </c>
      <c r="B199" t="s">
        <v>424</v>
      </c>
      <c r="D199" t="s">
        <v>360</v>
      </c>
      <c r="E199">
        <v>-6581.29</v>
      </c>
      <c r="F199">
        <v>-261937236</v>
      </c>
      <c r="G199" t="s">
        <v>425</v>
      </c>
    </row>
    <row r="200" spans="1:7" x14ac:dyDescent="0.25">
      <c r="A200">
        <v>207</v>
      </c>
      <c r="B200" t="s">
        <v>426</v>
      </c>
      <c r="C200" t="s">
        <v>362</v>
      </c>
      <c r="D200" t="s">
        <v>363</v>
      </c>
      <c r="E200">
        <v>-35.78</v>
      </c>
      <c r="F200">
        <v>-1421517</v>
      </c>
      <c r="G200" t="s">
        <v>425</v>
      </c>
    </row>
    <row r="201" spans="1:7" x14ac:dyDescent="0.25">
      <c r="A201">
        <v>208</v>
      </c>
      <c r="B201" t="s">
        <v>426</v>
      </c>
      <c r="C201" t="s">
        <v>563</v>
      </c>
      <c r="D201" t="s">
        <v>564</v>
      </c>
      <c r="E201">
        <v>0</v>
      </c>
      <c r="F201">
        <v>0</v>
      </c>
      <c r="G201" t="s">
        <v>425</v>
      </c>
    </row>
    <row r="202" spans="1:7" x14ac:dyDescent="0.25">
      <c r="A202">
        <v>209</v>
      </c>
      <c r="B202" t="s">
        <v>426</v>
      </c>
      <c r="C202" t="s">
        <v>565</v>
      </c>
      <c r="D202" t="s">
        <v>566</v>
      </c>
      <c r="E202">
        <v>0</v>
      </c>
      <c r="F202">
        <v>0</v>
      </c>
      <c r="G202" t="s">
        <v>425</v>
      </c>
    </row>
    <row r="203" spans="1:7" x14ac:dyDescent="0.25">
      <c r="A203">
        <v>210</v>
      </c>
      <c r="B203" t="s">
        <v>426</v>
      </c>
      <c r="C203" t="s">
        <v>567</v>
      </c>
      <c r="D203" t="s">
        <v>568</v>
      </c>
      <c r="E203">
        <v>0</v>
      </c>
      <c r="F203">
        <v>0</v>
      </c>
      <c r="G203" t="s">
        <v>425</v>
      </c>
    </row>
    <row r="204" spans="1:7" x14ac:dyDescent="0.25">
      <c r="A204">
        <v>211</v>
      </c>
      <c r="B204" t="s">
        <v>426</v>
      </c>
      <c r="C204" t="s">
        <v>569</v>
      </c>
      <c r="D204" t="s">
        <v>570</v>
      </c>
      <c r="E204">
        <v>0</v>
      </c>
      <c r="F204">
        <v>0</v>
      </c>
      <c r="G204" t="s">
        <v>425</v>
      </c>
    </row>
    <row r="205" spans="1:7" x14ac:dyDescent="0.25">
      <c r="A205">
        <v>212</v>
      </c>
      <c r="B205" t="s">
        <v>426</v>
      </c>
      <c r="C205" t="s">
        <v>571</v>
      </c>
      <c r="D205" t="s">
        <v>572</v>
      </c>
      <c r="E205">
        <v>0</v>
      </c>
      <c r="F205">
        <v>0</v>
      </c>
      <c r="G205" t="s">
        <v>425</v>
      </c>
    </row>
    <row r="206" spans="1:7" x14ac:dyDescent="0.25">
      <c r="A206">
        <v>213</v>
      </c>
      <c r="B206" t="s">
        <v>426</v>
      </c>
      <c r="C206" t="s">
        <v>573</v>
      </c>
      <c r="D206" t="s">
        <v>574</v>
      </c>
      <c r="E206">
        <v>0</v>
      </c>
      <c r="F206">
        <v>0</v>
      </c>
      <c r="G206" t="s">
        <v>425</v>
      </c>
    </row>
    <row r="207" spans="1:7" x14ac:dyDescent="0.25">
      <c r="A207">
        <v>214</v>
      </c>
      <c r="B207" t="s">
        <v>426</v>
      </c>
      <c r="C207" t="s">
        <v>365</v>
      </c>
      <c r="D207" t="s">
        <v>366</v>
      </c>
      <c r="E207">
        <v>-6545.51</v>
      </c>
      <c r="F207">
        <v>-260515719</v>
      </c>
      <c r="G207" t="s">
        <v>425</v>
      </c>
    </row>
    <row r="208" spans="1:7" x14ac:dyDescent="0.25">
      <c r="A208">
        <v>215</v>
      </c>
      <c r="B208" t="s">
        <v>426</v>
      </c>
      <c r="C208" t="s">
        <v>368</v>
      </c>
      <c r="D208" t="s">
        <v>369</v>
      </c>
      <c r="E208">
        <v>0</v>
      </c>
      <c r="F208">
        <v>0</v>
      </c>
      <c r="G208" t="s">
        <v>425</v>
      </c>
    </row>
    <row r="209" spans="1:7" x14ac:dyDescent="0.25">
      <c r="A209">
        <v>216</v>
      </c>
      <c r="B209" t="s">
        <v>426</v>
      </c>
      <c r="C209" t="s">
        <v>575</v>
      </c>
      <c r="D209" t="s">
        <v>576</v>
      </c>
      <c r="E209">
        <v>0</v>
      </c>
      <c r="F209">
        <v>0</v>
      </c>
      <c r="G209" t="s">
        <v>425</v>
      </c>
    </row>
    <row r="210" spans="1:7" x14ac:dyDescent="0.25">
      <c r="A210">
        <v>218</v>
      </c>
      <c r="B210" t="s">
        <v>424</v>
      </c>
      <c r="D210" t="s">
        <v>371</v>
      </c>
      <c r="E210">
        <v>-748528.19</v>
      </c>
      <c r="F210">
        <v>-29805958181</v>
      </c>
      <c r="G210" t="s">
        <v>425</v>
      </c>
    </row>
    <row r="211" spans="1:7" x14ac:dyDescent="0.25">
      <c r="A211">
        <v>220</v>
      </c>
      <c r="B211" t="s">
        <v>424</v>
      </c>
      <c r="D211" t="s">
        <v>373</v>
      </c>
      <c r="E211">
        <v>1445.809999999939</v>
      </c>
      <c r="F211">
        <v>58427829</v>
      </c>
      <c r="G211" t="s">
        <v>425</v>
      </c>
    </row>
    <row r="212" spans="1:7" x14ac:dyDescent="0.25">
      <c r="A212">
        <v>222</v>
      </c>
      <c r="B212" t="s">
        <v>424</v>
      </c>
      <c r="D212" t="s">
        <v>375</v>
      </c>
      <c r="E212">
        <v>-1445.81</v>
      </c>
      <c r="F212">
        <v>-58427829</v>
      </c>
      <c r="G212" t="s">
        <v>425</v>
      </c>
    </row>
    <row r="213" spans="1:7" x14ac:dyDescent="0.25">
      <c r="A213">
        <v>223</v>
      </c>
      <c r="B213" t="s">
        <v>426</v>
      </c>
      <c r="C213" t="s">
        <v>577</v>
      </c>
      <c r="D213" t="s">
        <v>578</v>
      </c>
      <c r="E213">
        <v>0</v>
      </c>
      <c r="F213">
        <v>0</v>
      </c>
      <c r="G213" t="s">
        <v>425</v>
      </c>
    </row>
    <row r="214" spans="1:7" x14ac:dyDescent="0.25">
      <c r="A214">
        <v>224</v>
      </c>
      <c r="B214" t="s">
        <v>426</v>
      </c>
      <c r="C214" t="s">
        <v>579</v>
      </c>
      <c r="D214" t="s">
        <v>580</v>
      </c>
      <c r="E214">
        <v>0</v>
      </c>
      <c r="F214">
        <v>0</v>
      </c>
      <c r="G214" t="s">
        <v>425</v>
      </c>
    </row>
    <row r="215" spans="1:7" x14ac:dyDescent="0.25">
      <c r="A215">
        <v>225</v>
      </c>
      <c r="B215" t="s">
        <v>426</v>
      </c>
      <c r="C215" t="s">
        <v>581</v>
      </c>
      <c r="D215" t="s">
        <v>582</v>
      </c>
      <c r="E215">
        <v>0</v>
      </c>
      <c r="F215">
        <v>0</v>
      </c>
      <c r="G215" t="s">
        <v>425</v>
      </c>
    </row>
    <row r="216" spans="1:7" x14ac:dyDescent="0.25">
      <c r="A216">
        <v>226</v>
      </c>
      <c r="B216" t="s">
        <v>426</v>
      </c>
      <c r="C216" t="s">
        <v>583</v>
      </c>
      <c r="D216" t="s">
        <v>584</v>
      </c>
      <c r="E216">
        <v>0</v>
      </c>
      <c r="F216">
        <v>0</v>
      </c>
      <c r="G216" t="s">
        <v>425</v>
      </c>
    </row>
    <row r="217" spans="1:7" x14ac:dyDescent="0.25">
      <c r="A217">
        <v>227</v>
      </c>
      <c r="B217" t="s">
        <v>426</v>
      </c>
      <c r="C217" t="s">
        <v>585</v>
      </c>
      <c r="D217" t="s">
        <v>586</v>
      </c>
      <c r="E217">
        <v>0</v>
      </c>
      <c r="F217">
        <v>0</v>
      </c>
      <c r="G217" t="s">
        <v>425</v>
      </c>
    </row>
    <row r="218" spans="1:7" x14ac:dyDescent="0.25">
      <c r="A218">
        <v>228</v>
      </c>
      <c r="B218" t="s">
        <v>426</v>
      </c>
      <c r="C218" t="s">
        <v>587</v>
      </c>
      <c r="D218" t="s">
        <v>588</v>
      </c>
      <c r="E218">
        <v>0</v>
      </c>
      <c r="F218">
        <v>0</v>
      </c>
      <c r="G218" t="s">
        <v>425</v>
      </c>
    </row>
    <row r="219" spans="1:7" x14ac:dyDescent="0.25">
      <c r="A219">
        <v>229</v>
      </c>
      <c r="B219" t="s">
        <v>426</v>
      </c>
      <c r="C219" t="s">
        <v>589</v>
      </c>
      <c r="D219" t="s">
        <v>590</v>
      </c>
      <c r="E219">
        <v>0</v>
      </c>
      <c r="F219">
        <v>0</v>
      </c>
      <c r="G219" t="s">
        <v>425</v>
      </c>
    </row>
    <row r="220" spans="1:7" x14ac:dyDescent="0.25">
      <c r="A220">
        <v>230</v>
      </c>
      <c r="B220" t="s">
        <v>426</v>
      </c>
      <c r="C220" t="s">
        <v>591</v>
      </c>
      <c r="D220" t="s">
        <v>592</v>
      </c>
      <c r="E220">
        <v>0</v>
      </c>
      <c r="F220">
        <v>0</v>
      </c>
      <c r="G220" t="s">
        <v>425</v>
      </c>
    </row>
    <row r="221" spans="1:7" x14ac:dyDescent="0.25">
      <c r="A221">
        <v>231</v>
      </c>
      <c r="B221" t="s">
        <v>426</v>
      </c>
      <c r="C221" t="s">
        <v>377</v>
      </c>
      <c r="D221" t="s">
        <v>378</v>
      </c>
      <c r="E221">
        <v>-96.07</v>
      </c>
      <c r="F221">
        <v>-3874770</v>
      </c>
      <c r="G221" t="s">
        <v>425</v>
      </c>
    </row>
    <row r="222" spans="1:7" x14ac:dyDescent="0.25">
      <c r="A222">
        <v>232</v>
      </c>
      <c r="B222" t="s">
        <v>426</v>
      </c>
      <c r="C222" t="s">
        <v>593</v>
      </c>
      <c r="D222" t="s">
        <v>594</v>
      </c>
      <c r="E222">
        <v>0</v>
      </c>
      <c r="F222">
        <v>0</v>
      </c>
      <c r="G222" t="s">
        <v>425</v>
      </c>
    </row>
    <row r="223" spans="1:7" x14ac:dyDescent="0.25">
      <c r="A223">
        <v>233</v>
      </c>
      <c r="B223" t="s">
        <v>426</v>
      </c>
      <c r="C223" t="s">
        <v>380</v>
      </c>
      <c r="D223" t="s">
        <v>381</v>
      </c>
      <c r="E223">
        <v>-1349.74</v>
      </c>
      <c r="F223">
        <v>-54553059</v>
      </c>
      <c r="G223" t="s">
        <v>425</v>
      </c>
    </row>
    <row r="224" spans="1:7" x14ac:dyDescent="0.25">
      <c r="A224">
        <v>234</v>
      </c>
      <c r="B224" t="s">
        <v>426</v>
      </c>
      <c r="C224" t="s">
        <v>595</v>
      </c>
      <c r="D224" t="s">
        <v>596</v>
      </c>
      <c r="E224">
        <v>0</v>
      </c>
      <c r="F224">
        <v>0</v>
      </c>
      <c r="G224" t="s">
        <v>425</v>
      </c>
    </row>
    <row r="225" spans="1:7" x14ac:dyDescent="0.25">
      <c r="A225">
        <v>235</v>
      </c>
      <c r="B225" t="s">
        <v>426</v>
      </c>
      <c r="C225" t="s">
        <v>597</v>
      </c>
      <c r="D225" t="s">
        <v>598</v>
      </c>
      <c r="E225">
        <v>0</v>
      </c>
      <c r="F225">
        <v>0</v>
      </c>
      <c r="G225" t="s">
        <v>425</v>
      </c>
    </row>
    <row r="226" spans="1:7" x14ac:dyDescent="0.25">
      <c r="A226">
        <v>236</v>
      </c>
      <c r="B226" t="s">
        <v>426</v>
      </c>
      <c r="C226" t="s">
        <v>599</v>
      </c>
      <c r="D226" t="s">
        <v>600</v>
      </c>
      <c r="E226">
        <v>0</v>
      </c>
      <c r="F226">
        <v>0</v>
      </c>
      <c r="G226" t="s">
        <v>425</v>
      </c>
    </row>
    <row r="227" spans="1:7" x14ac:dyDescent="0.25">
      <c r="A227">
        <v>237</v>
      </c>
      <c r="B227" t="s">
        <v>426</v>
      </c>
      <c r="C227" t="s">
        <v>601</v>
      </c>
      <c r="D227" t="s">
        <v>602</v>
      </c>
      <c r="E227">
        <v>0</v>
      </c>
      <c r="F227">
        <v>0</v>
      </c>
      <c r="G227" t="s">
        <v>425</v>
      </c>
    </row>
    <row r="228" spans="1:7" x14ac:dyDescent="0.25">
      <c r="A228">
        <v>238</v>
      </c>
      <c r="B228" t="s">
        <v>424</v>
      </c>
      <c r="D228" t="s">
        <v>383</v>
      </c>
      <c r="E228">
        <v>0</v>
      </c>
      <c r="F228">
        <v>0</v>
      </c>
      <c r="G228" t="s">
        <v>425</v>
      </c>
    </row>
    <row r="229" spans="1:7" x14ac:dyDescent="0.25">
      <c r="A229">
        <v>239</v>
      </c>
      <c r="B229" t="s">
        <v>426</v>
      </c>
      <c r="C229" t="s">
        <v>603</v>
      </c>
      <c r="D229" t="s">
        <v>604</v>
      </c>
      <c r="E229">
        <v>0</v>
      </c>
      <c r="F229">
        <v>0</v>
      </c>
      <c r="G229" t="s">
        <v>425</v>
      </c>
    </row>
    <row r="230" spans="1:7" x14ac:dyDescent="0.25">
      <c r="A230">
        <v>240</v>
      </c>
      <c r="B230" t="s">
        <v>426</v>
      </c>
      <c r="C230" t="s">
        <v>605</v>
      </c>
      <c r="D230" t="s">
        <v>246</v>
      </c>
      <c r="E230">
        <v>0</v>
      </c>
      <c r="F230">
        <v>0</v>
      </c>
      <c r="G230" t="s">
        <v>425</v>
      </c>
    </row>
    <row r="231" spans="1:7" x14ac:dyDescent="0.25">
      <c r="A231">
        <v>241</v>
      </c>
      <c r="B231" t="s">
        <v>426</v>
      </c>
      <c r="C231" t="s">
        <v>606</v>
      </c>
      <c r="D231" t="s">
        <v>607</v>
      </c>
      <c r="E231">
        <v>0</v>
      </c>
      <c r="F231">
        <v>0</v>
      </c>
      <c r="G231" t="s">
        <v>425</v>
      </c>
    </row>
    <row r="232" spans="1:7" x14ac:dyDescent="0.25">
      <c r="A232">
        <v>242</v>
      </c>
      <c r="B232" t="s">
        <v>426</v>
      </c>
      <c r="C232" t="s">
        <v>608</v>
      </c>
      <c r="D232" t="s">
        <v>200</v>
      </c>
      <c r="E232">
        <v>0</v>
      </c>
      <c r="F232">
        <v>0</v>
      </c>
      <c r="G232" t="s">
        <v>425</v>
      </c>
    </row>
    <row r="233" spans="1:7" x14ac:dyDescent="0.25">
      <c r="A233">
        <v>243</v>
      </c>
      <c r="B233" t="s">
        <v>426</v>
      </c>
      <c r="C233" t="s">
        <v>609</v>
      </c>
      <c r="D233" t="s">
        <v>610</v>
      </c>
      <c r="E233">
        <v>0</v>
      </c>
      <c r="F233">
        <v>0</v>
      </c>
      <c r="G233" t="s">
        <v>425</v>
      </c>
    </row>
    <row r="234" spans="1:7" x14ac:dyDescent="0.25">
      <c r="A234">
        <v>244</v>
      </c>
      <c r="B234" t="s">
        <v>426</v>
      </c>
      <c r="C234" t="s">
        <v>611</v>
      </c>
      <c r="D234" t="s">
        <v>612</v>
      </c>
      <c r="E234">
        <v>0</v>
      </c>
      <c r="F234">
        <v>0</v>
      </c>
      <c r="G234" t="s">
        <v>425</v>
      </c>
    </row>
    <row r="235" spans="1:7" x14ac:dyDescent="0.25">
      <c r="A235">
        <v>245</v>
      </c>
      <c r="B235" t="s">
        <v>426</v>
      </c>
      <c r="C235" t="s">
        <v>613</v>
      </c>
      <c r="D235" t="s">
        <v>614</v>
      </c>
      <c r="E235">
        <v>0</v>
      </c>
      <c r="F235">
        <v>0</v>
      </c>
      <c r="G235" t="s">
        <v>425</v>
      </c>
    </row>
    <row r="236" spans="1:7" x14ac:dyDescent="0.25">
      <c r="A236">
        <v>246</v>
      </c>
      <c r="B236" t="s">
        <v>426</v>
      </c>
      <c r="C236" t="s">
        <v>615</v>
      </c>
      <c r="D236" t="s">
        <v>616</v>
      </c>
      <c r="E236">
        <v>0</v>
      </c>
      <c r="F236">
        <v>0</v>
      </c>
      <c r="G236" t="s">
        <v>425</v>
      </c>
    </row>
    <row r="237" spans="1:7" x14ac:dyDescent="0.25">
      <c r="A237">
        <v>247</v>
      </c>
      <c r="B237" t="s">
        <v>426</v>
      </c>
      <c r="C237" t="s">
        <v>617</v>
      </c>
      <c r="D237" t="s">
        <v>618</v>
      </c>
      <c r="E237">
        <v>0</v>
      </c>
      <c r="F237">
        <v>0</v>
      </c>
      <c r="G237" t="s">
        <v>425</v>
      </c>
    </row>
    <row r="238" spans="1:7" x14ac:dyDescent="0.25">
      <c r="A238">
        <v>248</v>
      </c>
      <c r="B238" t="s">
        <v>426</v>
      </c>
      <c r="C238" t="s">
        <v>619</v>
      </c>
      <c r="D238" t="s">
        <v>620</v>
      </c>
      <c r="E238">
        <v>0</v>
      </c>
      <c r="F238">
        <v>0</v>
      </c>
      <c r="G238" t="s">
        <v>425</v>
      </c>
    </row>
    <row r="239" spans="1:7" x14ac:dyDescent="0.25">
      <c r="A239">
        <v>249</v>
      </c>
      <c r="B239" t="s">
        <v>426</v>
      </c>
      <c r="C239" t="s">
        <v>621</v>
      </c>
      <c r="D239" t="s">
        <v>622</v>
      </c>
      <c r="E239">
        <v>0</v>
      </c>
      <c r="F239">
        <v>0</v>
      </c>
      <c r="G239" t="s">
        <v>425</v>
      </c>
    </row>
    <row r="240" spans="1:7" x14ac:dyDescent="0.25">
      <c r="A240">
        <v>250</v>
      </c>
      <c r="B240" t="s">
        <v>426</v>
      </c>
      <c r="C240" t="s">
        <v>385</v>
      </c>
      <c r="D240" t="s">
        <v>386</v>
      </c>
      <c r="E240">
        <v>0</v>
      </c>
      <c r="F240">
        <v>0</v>
      </c>
      <c r="G240" t="s">
        <v>425</v>
      </c>
    </row>
    <row r="241" spans="1:7" x14ac:dyDescent="0.25">
      <c r="A241">
        <v>251</v>
      </c>
      <c r="B241" t="s">
        <v>426</v>
      </c>
      <c r="C241" t="s">
        <v>623</v>
      </c>
      <c r="D241" t="s">
        <v>624</v>
      </c>
      <c r="E241">
        <v>0</v>
      </c>
      <c r="F241">
        <v>0</v>
      </c>
      <c r="G241" t="s">
        <v>425</v>
      </c>
    </row>
    <row r="242" spans="1:7" x14ac:dyDescent="0.25">
      <c r="A242">
        <v>252</v>
      </c>
      <c r="B242" t="s">
        <v>426</v>
      </c>
      <c r="C242" t="s">
        <v>625</v>
      </c>
      <c r="D242" t="s">
        <v>626</v>
      </c>
      <c r="E242">
        <v>0</v>
      </c>
      <c r="F242">
        <v>0</v>
      </c>
      <c r="G242" t="s">
        <v>425</v>
      </c>
    </row>
    <row r="243" spans="1:7" x14ac:dyDescent="0.25">
      <c r="A243">
        <v>253</v>
      </c>
      <c r="B243" t="s">
        <v>426</v>
      </c>
      <c r="C243" t="s">
        <v>627</v>
      </c>
      <c r="D243" t="s">
        <v>628</v>
      </c>
      <c r="E243">
        <v>0</v>
      </c>
      <c r="F243">
        <v>0</v>
      </c>
      <c r="G243" t="s">
        <v>425</v>
      </c>
    </row>
    <row r="244" spans="1:7" x14ac:dyDescent="0.25">
      <c r="A244">
        <v>254</v>
      </c>
      <c r="B244" t="s">
        <v>426</v>
      </c>
      <c r="C244" t="s">
        <v>629</v>
      </c>
      <c r="D244" t="s">
        <v>630</v>
      </c>
      <c r="E244">
        <v>0</v>
      </c>
      <c r="F244">
        <v>0</v>
      </c>
      <c r="G244" t="s">
        <v>425</v>
      </c>
    </row>
    <row r="245" spans="1:7" x14ac:dyDescent="0.25">
      <c r="A245">
        <v>255</v>
      </c>
      <c r="B245" t="s">
        <v>426</v>
      </c>
      <c r="C245" t="s">
        <v>388</v>
      </c>
      <c r="D245" t="s">
        <v>389</v>
      </c>
      <c r="E245">
        <v>0</v>
      </c>
      <c r="F245">
        <v>0</v>
      </c>
      <c r="G245" t="s">
        <v>425</v>
      </c>
    </row>
    <row r="246" spans="1:7" x14ac:dyDescent="0.25">
      <c r="A246">
        <v>256</v>
      </c>
      <c r="B246" t="s">
        <v>426</v>
      </c>
      <c r="C246" t="s">
        <v>391</v>
      </c>
      <c r="D246" t="s">
        <v>392</v>
      </c>
      <c r="E246">
        <v>0</v>
      </c>
      <c r="F246">
        <v>0</v>
      </c>
      <c r="G246" t="s">
        <v>425</v>
      </c>
    </row>
    <row r="247" spans="1:7" x14ac:dyDescent="0.25">
      <c r="A247">
        <v>257</v>
      </c>
      <c r="B247" t="s">
        <v>426</v>
      </c>
      <c r="C247" t="s">
        <v>631</v>
      </c>
      <c r="D247" t="s">
        <v>632</v>
      </c>
      <c r="E247">
        <v>0</v>
      </c>
      <c r="F247">
        <v>0</v>
      </c>
      <c r="G247" t="s">
        <v>425</v>
      </c>
    </row>
    <row r="248" spans="1:7" x14ac:dyDescent="0.25">
      <c r="A248">
        <v>258</v>
      </c>
      <c r="B248" t="s">
        <v>426</v>
      </c>
      <c r="C248" t="s">
        <v>633</v>
      </c>
      <c r="D248" t="s">
        <v>634</v>
      </c>
      <c r="E248">
        <v>0</v>
      </c>
      <c r="F248">
        <v>0</v>
      </c>
      <c r="G248" t="s">
        <v>425</v>
      </c>
    </row>
    <row r="249" spans="1:7" x14ac:dyDescent="0.25">
      <c r="A249">
        <v>259</v>
      </c>
      <c r="B249" t="s">
        <v>426</v>
      </c>
      <c r="C249" t="s">
        <v>394</v>
      </c>
      <c r="D249" t="s">
        <v>395</v>
      </c>
      <c r="E249">
        <v>0</v>
      </c>
      <c r="F249">
        <v>0</v>
      </c>
      <c r="G249" t="s">
        <v>425</v>
      </c>
    </row>
    <row r="250" spans="1:7" x14ac:dyDescent="0.25">
      <c r="A250">
        <v>260</v>
      </c>
      <c r="B250" t="s">
        <v>426</v>
      </c>
      <c r="C250" t="s">
        <v>397</v>
      </c>
      <c r="D250" t="s">
        <v>398</v>
      </c>
      <c r="E250">
        <v>0</v>
      </c>
      <c r="F250">
        <v>0</v>
      </c>
      <c r="G250" t="s">
        <v>425</v>
      </c>
    </row>
    <row r="251" spans="1:7" x14ac:dyDescent="0.25">
      <c r="A251">
        <v>261</v>
      </c>
      <c r="B251" t="s">
        <v>426</v>
      </c>
      <c r="C251" t="s">
        <v>635</v>
      </c>
      <c r="D251" t="s">
        <v>636</v>
      </c>
      <c r="E251">
        <v>0</v>
      </c>
      <c r="F251">
        <v>0</v>
      </c>
      <c r="G251" t="s">
        <v>425</v>
      </c>
    </row>
    <row r="252" spans="1:7" x14ac:dyDescent="0.25">
      <c r="A252">
        <v>262</v>
      </c>
      <c r="B252" t="s">
        <v>426</v>
      </c>
      <c r="C252" t="s">
        <v>637</v>
      </c>
      <c r="D252" t="s">
        <v>638</v>
      </c>
      <c r="E252">
        <v>0</v>
      </c>
      <c r="F252">
        <v>0</v>
      </c>
      <c r="G252" t="s">
        <v>425</v>
      </c>
    </row>
    <row r="253" spans="1:7" x14ac:dyDescent="0.25">
      <c r="A253">
        <v>263</v>
      </c>
      <c r="B253" t="s">
        <v>426</v>
      </c>
      <c r="C253" t="s">
        <v>400</v>
      </c>
      <c r="D253" t="s">
        <v>258</v>
      </c>
      <c r="E253">
        <v>0</v>
      </c>
      <c r="F253">
        <v>0</v>
      </c>
      <c r="G253" t="s">
        <v>425</v>
      </c>
    </row>
    <row r="254" spans="1:7" x14ac:dyDescent="0.25">
      <c r="A254">
        <v>264</v>
      </c>
      <c r="B254" t="s">
        <v>426</v>
      </c>
      <c r="C254" t="s">
        <v>402</v>
      </c>
      <c r="D254" t="s">
        <v>403</v>
      </c>
      <c r="E254">
        <v>0</v>
      </c>
      <c r="F254">
        <v>0</v>
      </c>
      <c r="G254" t="s">
        <v>425</v>
      </c>
    </row>
    <row r="255" spans="1:7" x14ac:dyDescent="0.25">
      <c r="A255">
        <v>265</v>
      </c>
      <c r="B255" t="s">
        <v>426</v>
      </c>
      <c r="C255" t="s">
        <v>639</v>
      </c>
      <c r="D255" t="s">
        <v>640</v>
      </c>
      <c r="E255">
        <v>0</v>
      </c>
      <c r="F255">
        <v>0</v>
      </c>
      <c r="G255" t="s">
        <v>425</v>
      </c>
    </row>
    <row r="256" spans="1:7" x14ac:dyDescent="0.25">
      <c r="A256">
        <v>266</v>
      </c>
      <c r="B256" t="s">
        <v>426</v>
      </c>
      <c r="C256" t="s">
        <v>641</v>
      </c>
      <c r="D256" t="s">
        <v>89</v>
      </c>
      <c r="E256">
        <v>0</v>
      </c>
      <c r="F256">
        <v>0</v>
      </c>
      <c r="G256" t="s">
        <v>425</v>
      </c>
    </row>
    <row r="257" spans="1:7" x14ac:dyDescent="0.25">
      <c r="A257">
        <v>267</v>
      </c>
      <c r="B257" t="s">
        <v>426</v>
      </c>
      <c r="C257" t="s">
        <v>642</v>
      </c>
      <c r="D257" t="s">
        <v>643</v>
      </c>
      <c r="E257">
        <v>0</v>
      </c>
      <c r="F257">
        <v>0</v>
      </c>
      <c r="G257" t="s">
        <v>425</v>
      </c>
    </row>
    <row r="258" spans="1:7" x14ac:dyDescent="0.25">
      <c r="A258">
        <v>268</v>
      </c>
      <c r="B258" t="s">
        <v>426</v>
      </c>
      <c r="C258" t="s">
        <v>644</v>
      </c>
      <c r="D258" t="s">
        <v>645</v>
      </c>
      <c r="E258">
        <v>0</v>
      </c>
      <c r="F258">
        <v>0</v>
      </c>
      <c r="G258" t="s">
        <v>425</v>
      </c>
    </row>
    <row r="259" spans="1:7" x14ac:dyDescent="0.25">
      <c r="A259">
        <v>269</v>
      </c>
      <c r="B259" t="s">
        <v>426</v>
      </c>
      <c r="C259" t="s">
        <v>646</v>
      </c>
      <c r="D259" t="s">
        <v>647</v>
      </c>
      <c r="E259">
        <v>0</v>
      </c>
      <c r="F259">
        <v>0</v>
      </c>
      <c r="G259" t="s">
        <v>425</v>
      </c>
    </row>
    <row r="260" spans="1:7" x14ac:dyDescent="0.25">
      <c r="A260">
        <v>270</v>
      </c>
      <c r="B260" t="s">
        <v>426</v>
      </c>
      <c r="C260" t="s">
        <v>648</v>
      </c>
      <c r="D260" t="s">
        <v>649</v>
      </c>
      <c r="E260">
        <v>0</v>
      </c>
      <c r="F260">
        <v>0</v>
      </c>
      <c r="G260" t="s">
        <v>425</v>
      </c>
    </row>
    <row r="261" spans="1:7" x14ac:dyDescent="0.25">
      <c r="A261">
        <v>271</v>
      </c>
      <c r="B261" t="s">
        <v>426</v>
      </c>
      <c r="C261" t="s">
        <v>405</v>
      </c>
      <c r="D261" t="s">
        <v>270</v>
      </c>
      <c r="E261">
        <v>0</v>
      </c>
      <c r="F261">
        <v>0</v>
      </c>
      <c r="G261" t="s">
        <v>425</v>
      </c>
    </row>
    <row r="262" spans="1:7" x14ac:dyDescent="0.25">
      <c r="A262">
        <v>272</v>
      </c>
      <c r="B262" t="s">
        <v>426</v>
      </c>
      <c r="C262" t="s">
        <v>650</v>
      </c>
      <c r="D262" t="s">
        <v>651</v>
      </c>
      <c r="E262">
        <v>0</v>
      </c>
      <c r="F262">
        <v>0</v>
      </c>
      <c r="G262" t="s">
        <v>425</v>
      </c>
    </row>
    <row r="263" spans="1:7" x14ac:dyDescent="0.25">
      <c r="A263">
        <v>273</v>
      </c>
      <c r="B263" t="s">
        <v>426</v>
      </c>
      <c r="C263" t="s">
        <v>652</v>
      </c>
      <c r="D263" t="s">
        <v>653</v>
      </c>
      <c r="E263">
        <v>0</v>
      </c>
      <c r="F263">
        <v>0</v>
      </c>
      <c r="G263" t="s">
        <v>425</v>
      </c>
    </row>
    <row r="264" spans="1:7" x14ac:dyDescent="0.25">
      <c r="A264">
        <v>274</v>
      </c>
      <c r="B264" t="s">
        <v>426</v>
      </c>
      <c r="C264" t="s">
        <v>654</v>
      </c>
      <c r="D264" t="s">
        <v>655</v>
      </c>
      <c r="E264">
        <v>0</v>
      </c>
      <c r="F264">
        <v>0</v>
      </c>
      <c r="G264" t="s">
        <v>425</v>
      </c>
    </row>
    <row r="265" spans="1:7" x14ac:dyDescent="0.25">
      <c r="A265">
        <v>275</v>
      </c>
      <c r="B265" t="s">
        <v>426</v>
      </c>
      <c r="C265" t="s">
        <v>656</v>
      </c>
      <c r="D265" t="s">
        <v>657</v>
      </c>
      <c r="E265">
        <v>0</v>
      </c>
      <c r="F265">
        <v>0</v>
      </c>
      <c r="G265" t="s">
        <v>425</v>
      </c>
    </row>
    <row r="266" spans="1:7" x14ac:dyDescent="0.25">
      <c r="A266">
        <v>276</v>
      </c>
      <c r="B266" t="s">
        <v>426</v>
      </c>
      <c r="C266" t="s">
        <v>658</v>
      </c>
      <c r="D266" t="s">
        <v>659</v>
      </c>
      <c r="E266">
        <v>0</v>
      </c>
      <c r="F266">
        <v>0</v>
      </c>
      <c r="G266" t="s">
        <v>425</v>
      </c>
    </row>
    <row r="267" spans="1:7" x14ac:dyDescent="0.25">
      <c r="A267">
        <v>279</v>
      </c>
      <c r="B267" t="s">
        <v>424</v>
      </c>
      <c r="D267" t="s">
        <v>407</v>
      </c>
      <c r="E267">
        <v>-1445.81</v>
      </c>
      <c r="F267">
        <v>-58427829</v>
      </c>
      <c r="G267" t="s">
        <v>425</v>
      </c>
    </row>
    <row r="268" spans="1:7" x14ac:dyDescent="0.25">
      <c r="A268">
        <v>281</v>
      </c>
      <c r="B268" t="s">
        <v>424</v>
      </c>
      <c r="D268" t="s">
        <v>409</v>
      </c>
      <c r="E268">
        <v>-6.0481397667899728E-11</v>
      </c>
      <c r="F268">
        <v>0</v>
      </c>
      <c r="G268" t="s">
        <v>425</v>
      </c>
    </row>
  </sheetData>
  <autoFilter ref="A1:G26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5.7109375" customWidth="1"/>
    <col min="4" max="4" width="68.7109375" customWidth="1"/>
    <col min="5" max="6" width="19.7109375" customWidth="1"/>
    <col min="7" max="7" width="43.7109375" customWidth="1"/>
  </cols>
  <sheetData>
    <row r="1" spans="1:7" x14ac:dyDescent="0.25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</row>
    <row r="2" spans="1:7" x14ac:dyDescent="0.25">
      <c r="A2">
        <v>3</v>
      </c>
      <c r="B2" t="s">
        <v>424</v>
      </c>
      <c r="D2" t="s">
        <v>15</v>
      </c>
      <c r="E2">
        <v>65.690000000000055</v>
      </c>
      <c r="F2">
        <v>2620670</v>
      </c>
      <c r="G2" t="s">
        <v>425</v>
      </c>
    </row>
    <row r="3" spans="1:7" x14ac:dyDescent="0.25">
      <c r="A3">
        <v>4</v>
      </c>
      <c r="B3" t="s">
        <v>426</v>
      </c>
      <c r="C3" t="s">
        <v>18</v>
      </c>
      <c r="D3" t="s">
        <v>19</v>
      </c>
      <c r="E3">
        <v>0</v>
      </c>
      <c r="F3">
        <v>0</v>
      </c>
      <c r="G3" t="s">
        <v>425</v>
      </c>
    </row>
    <row r="4" spans="1:7" x14ac:dyDescent="0.25">
      <c r="A4">
        <v>5</v>
      </c>
      <c r="B4" t="s">
        <v>426</v>
      </c>
      <c r="C4" t="s">
        <v>427</v>
      </c>
      <c r="D4" t="s">
        <v>428</v>
      </c>
      <c r="E4">
        <v>0</v>
      </c>
      <c r="F4">
        <v>0</v>
      </c>
      <c r="G4" t="s">
        <v>425</v>
      </c>
    </row>
    <row r="5" spans="1:7" x14ac:dyDescent="0.25">
      <c r="A5">
        <v>6</v>
      </c>
      <c r="B5" t="s">
        <v>426</v>
      </c>
      <c r="C5" t="s">
        <v>21</v>
      </c>
      <c r="D5" t="s">
        <v>660</v>
      </c>
      <c r="E5">
        <v>65.690000000000055</v>
      </c>
      <c r="F5">
        <v>2620670</v>
      </c>
      <c r="G5" t="s">
        <v>425</v>
      </c>
    </row>
    <row r="6" spans="1:7" x14ac:dyDescent="0.25">
      <c r="A6">
        <v>7</v>
      </c>
      <c r="B6" t="s">
        <v>424</v>
      </c>
      <c r="D6" t="s">
        <v>25</v>
      </c>
      <c r="E6">
        <v>0</v>
      </c>
      <c r="F6">
        <v>0</v>
      </c>
      <c r="G6" t="s">
        <v>425</v>
      </c>
    </row>
    <row r="7" spans="1:7" x14ac:dyDescent="0.25">
      <c r="A7">
        <v>8</v>
      </c>
      <c r="B7" t="s">
        <v>426</v>
      </c>
      <c r="C7" t="s">
        <v>432</v>
      </c>
      <c r="D7" t="s">
        <v>433</v>
      </c>
      <c r="E7">
        <v>0</v>
      </c>
      <c r="F7">
        <v>0</v>
      </c>
      <c r="G7" t="s">
        <v>425</v>
      </c>
    </row>
    <row r="8" spans="1:7" x14ac:dyDescent="0.25">
      <c r="A8">
        <v>9</v>
      </c>
      <c r="B8" t="s">
        <v>424</v>
      </c>
      <c r="D8" t="s">
        <v>25</v>
      </c>
      <c r="E8">
        <v>0</v>
      </c>
      <c r="F8">
        <v>0</v>
      </c>
      <c r="G8" t="s">
        <v>425</v>
      </c>
    </row>
    <row r="9" spans="1:7" x14ac:dyDescent="0.25">
      <c r="A9">
        <v>10</v>
      </c>
      <c r="B9" t="s">
        <v>426</v>
      </c>
      <c r="C9" t="s">
        <v>29</v>
      </c>
      <c r="D9" t="s">
        <v>30</v>
      </c>
      <c r="E9">
        <v>0</v>
      </c>
      <c r="F9">
        <v>0</v>
      </c>
      <c r="G9" t="s">
        <v>425</v>
      </c>
    </row>
    <row r="10" spans="1:7" x14ac:dyDescent="0.25">
      <c r="A10">
        <v>11</v>
      </c>
      <c r="B10" t="s">
        <v>424</v>
      </c>
      <c r="D10" t="s">
        <v>40</v>
      </c>
      <c r="E10">
        <v>490.61</v>
      </c>
      <c r="F10">
        <v>20000000</v>
      </c>
      <c r="G10" t="s">
        <v>425</v>
      </c>
    </row>
    <row r="11" spans="1:7" x14ac:dyDescent="0.25">
      <c r="A11">
        <v>12</v>
      </c>
      <c r="B11" t="s">
        <v>426</v>
      </c>
      <c r="C11" t="s">
        <v>436</v>
      </c>
      <c r="D11" t="s">
        <v>437</v>
      </c>
      <c r="E11">
        <v>0</v>
      </c>
      <c r="F11">
        <v>0</v>
      </c>
      <c r="G11" t="s">
        <v>425</v>
      </c>
    </row>
    <row r="12" spans="1:7" x14ac:dyDescent="0.25">
      <c r="A12">
        <v>13</v>
      </c>
      <c r="B12" t="s">
        <v>426</v>
      </c>
      <c r="C12" t="s">
        <v>42</v>
      </c>
      <c r="D12" t="s">
        <v>43</v>
      </c>
      <c r="E12">
        <v>0</v>
      </c>
      <c r="F12">
        <v>0</v>
      </c>
      <c r="G12" t="s">
        <v>425</v>
      </c>
    </row>
    <row r="13" spans="1:7" x14ac:dyDescent="0.25">
      <c r="A13">
        <v>14</v>
      </c>
      <c r="B13" t="s">
        <v>426</v>
      </c>
      <c r="C13" t="s">
        <v>45</v>
      </c>
      <c r="D13" t="s">
        <v>46</v>
      </c>
      <c r="E13">
        <v>490.61</v>
      </c>
      <c r="F13">
        <v>20000000</v>
      </c>
      <c r="G13" t="s">
        <v>425</v>
      </c>
    </row>
    <row r="14" spans="1:7" x14ac:dyDescent="0.25">
      <c r="A14">
        <v>15</v>
      </c>
      <c r="B14" t="s">
        <v>424</v>
      </c>
      <c r="D14" t="s">
        <v>53</v>
      </c>
      <c r="E14">
        <v>0</v>
      </c>
      <c r="F14">
        <v>0</v>
      </c>
      <c r="G14" t="s">
        <v>425</v>
      </c>
    </row>
    <row r="15" spans="1:7" x14ac:dyDescent="0.25">
      <c r="A15">
        <v>16</v>
      </c>
      <c r="B15" t="s">
        <v>426</v>
      </c>
      <c r="C15" t="s">
        <v>661</v>
      </c>
      <c r="D15" t="s">
        <v>662</v>
      </c>
      <c r="E15">
        <v>0</v>
      </c>
      <c r="F15">
        <v>0</v>
      </c>
      <c r="G15" t="s">
        <v>425</v>
      </c>
    </row>
    <row r="16" spans="1:7" x14ac:dyDescent="0.25">
      <c r="A16">
        <v>18</v>
      </c>
      <c r="B16" t="s">
        <v>424</v>
      </c>
      <c r="D16" t="s">
        <v>58</v>
      </c>
      <c r="G16" t="s">
        <v>425</v>
      </c>
    </row>
    <row r="17" spans="1:7" x14ac:dyDescent="0.25">
      <c r="A17">
        <v>19</v>
      </c>
      <c r="B17" t="s">
        <v>424</v>
      </c>
      <c r="D17" t="s">
        <v>48</v>
      </c>
      <c r="E17">
        <v>164250.74</v>
      </c>
      <c r="F17">
        <v>6525346829</v>
      </c>
      <c r="G17" t="s">
        <v>425</v>
      </c>
    </row>
    <row r="18" spans="1:7" x14ac:dyDescent="0.25">
      <c r="A18">
        <v>20</v>
      </c>
      <c r="B18" t="s">
        <v>426</v>
      </c>
      <c r="C18" t="s">
        <v>61</v>
      </c>
      <c r="D18" t="s">
        <v>663</v>
      </c>
      <c r="E18">
        <v>164250.74</v>
      </c>
      <c r="F18">
        <v>6525346829</v>
      </c>
      <c r="G18" t="s">
        <v>425</v>
      </c>
    </row>
    <row r="19" spans="1:7" x14ac:dyDescent="0.25">
      <c r="A19">
        <v>21</v>
      </c>
      <c r="B19" t="s">
        <v>426</v>
      </c>
      <c r="C19" t="s">
        <v>664</v>
      </c>
      <c r="D19" t="s">
        <v>665</v>
      </c>
      <c r="E19">
        <v>0</v>
      </c>
      <c r="F19">
        <v>0</v>
      </c>
      <c r="G19" t="s">
        <v>425</v>
      </c>
    </row>
    <row r="20" spans="1:7" x14ac:dyDescent="0.25">
      <c r="A20">
        <v>22</v>
      </c>
      <c r="B20" t="s">
        <v>426</v>
      </c>
      <c r="C20" t="s">
        <v>666</v>
      </c>
      <c r="D20" t="s">
        <v>667</v>
      </c>
      <c r="E20">
        <v>0</v>
      </c>
      <c r="F20">
        <v>0</v>
      </c>
      <c r="G20" t="s">
        <v>425</v>
      </c>
    </row>
    <row r="21" spans="1:7" x14ac:dyDescent="0.25">
      <c r="A21">
        <v>23</v>
      </c>
      <c r="B21" t="s">
        <v>426</v>
      </c>
      <c r="C21" t="s">
        <v>668</v>
      </c>
      <c r="D21" t="s">
        <v>669</v>
      </c>
      <c r="E21">
        <v>0</v>
      </c>
      <c r="F21">
        <v>0</v>
      </c>
      <c r="G21" t="s">
        <v>425</v>
      </c>
    </row>
    <row r="22" spans="1:7" x14ac:dyDescent="0.25">
      <c r="A22">
        <v>24</v>
      </c>
      <c r="B22" t="s">
        <v>426</v>
      </c>
      <c r="C22" t="s">
        <v>449</v>
      </c>
      <c r="D22" t="s">
        <v>670</v>
      </c>
      <c r="E22">
        <v>0</v>
      </c>
      <c r="F22">
        <v>0</v>
      </c>
      <c r="G22" t="s">
        <v>425</v>
      </c>
    </row>
    <row r="23" spans="1:7" x14ac:dyDescent="0.25">
      <c r="A23">
        <v>25</v>
      </c>
      <c r="B23" t="s">
        <v>426</v>
      </c>
      <c r="C23" t="s">
        <v>671</v>
      </c>
      <c r="D23" t="s">
        <v>51</v>
      </c>
      <c r="E23">
        <v>0</v>
      </c>
      <c r="F23">
        <v>0</v>
      </c>
      <c r="G23" t="s">
        <v>425</v>
      </c>
    </row>
    <row r="24" spans="1:7" x14ac:dyDescent="0.25">
      <c r="A24">
        <v>26</v>
      </c>
      <c r="B24" t="s">
        <v>424</v>
      </c>
      <c r="D24" t="s">
        <v>64</v>
      </c>
      <c r="E24">
        <v>17.64</v>
      </c>
      <c r="F24">
        <v>700945</v>
      </c>
      <c r="G24" t="s">
        <v>425</v>
      </c>
    </row>
    <row r="25" spans="1:7" x14ac:dyDescent="0.25">
      <c r="A25">
        <v>27</v>
      </c>
      <c r="B25" t="s">
        <v>426</v>
      </c>
      <c r="C25" t="s">
        <v>66</v>
      </c>
      <c r="D25" t="s">
        <v>672</v>
      </c>
      <c r="E25">
        <v>17.64</v>
      </c>
      <c r="F25">
        <v>700945</v>
      </c>
      <c r="G25" t="s">
        <v>425</v>
      </c>
    </row>
    <row r="26" spans="1:7" x14ac:dyDescent="0.25">
      <c r="A26">
        <v>28</v>
      </c>
      <c r="B26" t="s">
        <v>426</v>
      </c>
      <c r="C26" t="s">
        <v>458</v>
      </c>
      <c r="D26" t="s">
        <v>673</v>
      </c>
      <c r="E26">
        <v>0</v>
      </c>
      <c r="F26">
        <v>0</v>
      </c>
      <c r="G26" t="s">
        <v>425</v>
      </c>
    </row>
    <row r="27" spans="1:7" x14ac:dyDescent="0.25">
      <c r="A27">
        <v>29</v>
      </c>
      <c r="B27" t="s">
        <v>426</v>
      </c>
      <c r="C27" t="s">
        <v>460</v>
      </c>
      <c r="D27" t="s">
        <v>674</v>
      </c>
      <c r="E27">
        <v>0</v>
      </c>
      <c r="F27">
        <v>0</v>
      </c>
      <c r="G27" t="s">
        <v>425</v>
      </c>
    </row>
    <row r="28" spans="1:7" x14ac:dyDescent="0.25">
      <c r="A28">
        <v>30</v>
      </c>
      <c r="B28" t="s">
        <v>426</v>
      </c>
      <c r="C28" t="s">
        <v>462</v>
      </c>
      <c r="D28" t="s">
        <v>675</v>
      </c>
      <c r="E28">
        <v>0</v>
      </c>
      <c r="F28">
        <v>0</v>
      </c>
      <c r="G28" t="s">
        <v>425</v>
      </c>
    </row>
    <row r="29" spans="1:7" x14ac:dyDescent="0.25">
      <c r="A29">
        <v>31</v>
      </c>
      <c r="B29" t="s">
        <v>426</v>
      </c>
      <c r="C29" t="s">
        <v>676</v>
      </c>
      <c r="D29" t="s">
        <v>677</v>
      </c>
      <c r="E29">
        <v>0</v>
      </c>
      <c r="F29">
        <v>0</v>
      </c>
      <c r="G29" t="s">
        <v>425</v>
      </c>
    </row>
    <row r="30" spans="1:7" x14ac:dyDescent="0.25">
      <c r="A30">
        <v>32</v>
      </c>
      <c r="B30" t="s">
        <v>426</v>
      </c>
      <c r="C30" t="s">
        <v>678</v>
      </c>
      <c r="D30" t="s">
        <v>679</v>
      </c>
      <c r="E30">
        <v>0</v>
      </c>
      <c r="F30">
        <v>0</v>
      </c>
      <c r="G30" t="s">
        <v>425</v>
      </c>
    </row>
    <row r="31" spans="1:7" x14ac:dyDescent="0.25">
      <c r="A31">
        <v>33</v>
      </c>
      <c r="B31" t="s">
        <v>424</v>
      </c>
      <c r="D31" t="s">
        <v>69</v>
      </c>
      <c r="E31">
        <v>0</v>
      </c>
      <c r="F31">
        <v>0</v>
      </c>
      <c r="G31" t="s">
        <v>425</v>
      </c>
    </row>
    <row r="32" spans="1:7" x14ac:dyDescent="0.25">
      <c r="A32">
        <v>34</v>
      </c>
      <c r="B32" t="s">
        <v>426</v>
      </c>
      <c r="C32" t="s">
        <v>680</v>
      </c>
      <c r="D32" t="s">
        <v>681</v>
      </c>
      <c r="E32">
        <v>0</v>
      </c>
      <c r="F32">
        <v>0</v>
      </c>
      <c r="G32" t="s">
        <v>425</v>
      </c>
    </row>
    <row r="33" spans="1:7" x14ac:dyDescent="0.25">
      <c r="A33">
        <v>35</v>
      </c>
      <c r="B33" t="s">
        <v>424</v>
      </c>
      <c r="D33" t="s">
        <v>71</v>
      </c>
      <c r="E33">
        <v>0</v>
      </c>
      <c r="F33">
        <v>0</v>
      </c>
      <c r="G33" t="s">
        <v>425</v>
      </c>
    </row>
    <row r="34" spans="1:7" x14ac:dyDescent="0.25">
      <c r="A34">
        <v>36</v>
      </c>
      <c r="B34" t="s">
        <v>426</v>
      </c>
      <c r="C34" t="s">
        <v>682</v>
      </c>
      <c r="D34" t="s">
        <v>683</v>
      </c>
      <c r="E34">
        <v>0</v>
      </c>
      <c r="F34">
        <v>0</v>
      </c>
      <c r="G34" t="s">
        <v>425</v>
      </c>
    </row>
    <row r="35" spans="1:7" x14ac:dyDescent="0.25">
      <c r="A35">
        <v>38</v>
      </c>
      <c r="B35" t="s">
        <v>424</v>
      </c>
      <c r="D35" t="s">
        <v>294</v>
      </c>
      <c r="E35">
        <v>164824.68</v>
      </c>
      <c r="F35">
        <v>6548668444</v>
      </c>
      <c r="G35" t="s">
        <v>425</v>
      </c>
    </row>
    <row r="36" spans="1:7" x14ac:dyDescent="0.25">
      <c r="A36">
        <v>40</v>
      </c>
      <c r="B36" t="s">
        <v>424</v>
      </c>
      <c r="D36" t="s">
        <v>411</v>
      </c>
      <c r="E36">
        <v>0</v>
      </c>
      <c r="F36">
        <v>0</v>
      </c>
      <c r="G36" t="s">
        <v>425</v>
      </c>
    </row>
    <row r="37" spans="1:7" x14ac:dyDescent="0.25">
      <c r="A37">
        <v>41</v>
      </c>
      <c r="B37" t="s">
        <v>426</v>
      </c>
      <c r="C37" t="s">
        <v>522</v>
      </c>
      <c r="D37" t="s">
        <v>523</v>
      </c>
      <c r="E37">
        <v>0</v>
      </c>
      <c r="F37">
        <v>0</v>
      </c>
      <c r="G37" t="s">
        <v>425</v>
      </c>
    </row>
    <row r="38" spans="1:7" x14ac:dyDescent="0.25">
      <c r="A38">
        <v>42</v>
      </c>
      <c r="B38" t="s">
        <v>426</v>
      </c>
      <c r="C38" t="s">
        <v>684</v>
      </c>
      <c r="D38" t="s">
        <v>685</v>
      </c>
      <c r="E38">
        <v>0</v>
      </c>
      <c r="F38">
        <v>0</v>
      </c>
      <c r="G38" t="s">
        <v>425</v>
      </c>
    </row>
    <row r="39" spans="1:7" x14ac:dyDescent="0.25">
      <c r="A39">
        <v>43</v>
      </c>
      <c r="B39" t="s">
        <v>424</v>
      </c>
      <c r="D39" t="s">
        <v>300</v>
      </c>
      <c r="E39">
        <v>-26.760000000000009</v>
      </c>
      <c r="F39">
        <v>-1093145</v>
      </c>
      <c r="G39" t="s">
        <v>425</v>
      </c>
    </row>
    <row r="40" spans="1:7" x14ac:dyDescent="0.25">
      <c r="A40">
        <v>44</v>
      </c>
      <c r="B40" t="s">
        <v>426</v>
      </c>
      <c r="C40" t="s">
        <v>302</v>
      </c>
      <c r="D40" t="s">
        <v>303</v>
      </c>
      <c r="E40">
        <v>-26.760000000000009</v>
      </c>
      <c r="F40">
        <v>-1093145</v>
      </c>
      <c r="G40" t="s">
        <v>425</v>
      </c>
    </row>
    <row r="41" spans="1:7" x14ac:dyDescent="0.25">
      <c r="A41">
        <v>45</v>
      </c>
      <c r="B41" t="s">
        <v>424</v>
      </c>
      <c r="D41" t="s">
        <v>305</v>
      </c>
      <c r="E41">
        <v>0</v>
      </c>
      <c r="F41">
        <v>0</v>
      </c>
      <c r="G41" t="s">
        <v>425</v>
      </c>
    </row>
    <row r="42" spans="1:7" x14ac:dyDescent="0.25">
      <c r="A42">
        <v>46</v>
      </c>
      <c r="B42" t="s">
        <v>426</v>
      </c>
      <c r="C42" t="s">
        <v>532</v>
      </c>
      <c r="D42" t="s">
        <v>533</v>
      </c>
      <c r="E42">
        <v>0</v>
      </c>
      <c r="F42">
        <v>0</v>
      </c>
      <c r="G42" t="s">
        <v>425</v>
      </c>
    </row>
    <row r="43" spans="1:7" x14ac:dyDescent="0.25">
      <c r="A43">
        <v>47</v>
      </c>
      <c r="B43" t="s">
        <v>426</v>
      </c>
      <c r="C43" t="s">
        <v>534</v>
      </c>
      <c r="D43" t="s">
        <v>535</v>
      </c>
      <c r="E43">
        <v>0</v>
      </c>
      <c r="F43">
        <v>0</v>
      </c>
      <c r="G43" t="s">
        <v>425</v>
      </c>
    </row>
    <row r="44" spans="1:7" x14ac:dyDescent="0.25">
      <c r="A44">
        <v>48</v>
      </c>
      <c r="B44" t="s">
        <v>424</v>
      </c>
      <c r="D44" t="s">
        <v>307</v>
      </c>
      <c r="E44">
        <v>-16042.73</v>
      </c>
      <c r="F44">
        <v>-639194033</v>
      </c>
      <c r="G44" t="s">
        <v>425</v>
      </c>
    </row>
    <row r="45" spans="1:7" x14ac:dyDescent="0.25">
      <c r="A45">
        <v>49</v>
      </c>
      <c r="B45" t="s">
        <v>426</v>
      </c>
      <c r="C45" t="s">
        <v>309</v>
      </c>
      <c r="D45" t="s">
        <v>663</v>
      </c>
      <c r="E45">
        <v>-16042.73</v>
      </c>
      <c r="F45">
        <v>-639194033</v>
      </c>
      <c r="G45" t="s">
        <v>425</v>
      </c>
    </row>
    <row r="46" spans="1:7" x14ac:dyDescent="0.25">
      <c r="A46">
        <v>50</v>
      </c>
      <c r="B46" t="s">
        <v>426</v>
      </c>
      <c r="C46" t="s">
        <v>686</v>
      </c>
      <c r="D46" t="s">
        <v>687</v>
      </c>
      <c r="E46">
        <v>0</v>
      </c>
      <c r="F46">
        <v>0</v>
      </c>
      <c r="G46" t="s">
        <v>425</v>
      </c>
    </row>
    <row r="47" spans="1:7" x14ac:dyDescent="0.25">
      <c r="A47">
        <v>51</v>
      </c>
      <c r="B47" t="s">
        <v>426</v>
      </c>
      <c r="C47" t="s">
        <v>688</v>
      </c>
      <c r="D47" t="s">
        <v>689</v>
      </c>
      <c r="E47">
        <v>0</v>
      </c>
      <c r="F47">
        <v>0</v>
      </c>
      <c r="G47" t="s">
        <v>425</v>
      </c>
    </row>
    <row r="48" spans="1:7" x14ac:dyDescent="0.25">
      <c r="A48">
        <v>52</v>
      </c>
      <c r="B48" t="s">
        <v>426</v>
      </c>
      <c r="C48" t="s">
        <v>690</v>
      </c>
      <c r="D48" t="s">
        <v>691</v>
      </c>
      <c r="E48">
        <v>0</v>
      </c>
      <c r="F48">
        <v>0</v>
      </c>
      <c r="G48" t="s">
        <v>425</v>
      </c>
    </row>
    <row r="49" spans="1:7" x14ac:dyDescent="0.25">
      <c r="A49">
        <v>53</v>
      </c>
      <c r="B49" t="s">
        <v>426</v>
      </c>
      <c r="C49" t="s">
        <v>692</v>
      </c>
      <c r="D49" t="s">
        <v>536</v>
      </c>
      <c r="E49">
        <v>0</v>
      </c>
      <c r="F49">
        <v>0</v>
      </c>
      <c r="G49" t="s">
        <v>425</v>
      </c>
    </row>
    <row r="50" spans="1:7" x14ac:dyDescent="0.25">
      <c r="A50">
        <v>54</v>
      </c>
      <c r="B50" t="s">
        <v>424</v>
      </c>
      <c r="D50" t="s">
        <v>312</v>
      </c>
      <c r="E50">
        <v>0</v>
      </c>
      <c r="F50">
        <v>0</v>
      </c>
      <c r="G50" t="s">
        <v>425</v>
      </c>
    </row>
    <row r="51" spans="1:7" x14ac:dyDescent="0.25">
      <c r="A51">
        <v>55</v>
      </c>
      <c r="B51" t="s">
        <v>426</v>
      </c>
      <c r="C51" t="s">
        <v>541</v>
      </c>
      <c r="D51" t="s">
        <v>542</v>
      </c>
      <c r="E51">
        <v>0</v>
      </c>
      <c r="F51">
        <v>0</v>
      </c>
      <c r="G51" t="s">
        <v>425</v>
      </c>
    </row>
    <row r="52" spans="1:7" x14ac:dyDescent="0.25">
      <c r="A52">
        <v>56</v>
      </c>
      <c r="B52" t="s">
        <v>424</v>
      </c>
      <c r="D52" t="s">
        <v>314</v>
      </c>
      <c r="E52">
        <v>-71206.36</v>
      </c>
      <c r="F52">
        <v>-2828911133</v>
      </c>
      <c r="G52" t="s">
        <v>425</v>
      </c>
    </row>
    <row r="53" spans="1:7" x14ac:dyDescent="0.25">
      <c r="A53">
        <v>57</v>
      </c>
      <c r="B53" t="s">
        <v>426</v>
      </c>
      <c r="C53" t="s">
        <v>316</v>
      </c>
      <c r="D53" t="s">
        <v>317</v>
      </c>
      <c r="E53">
        <v>-0.35999999999999988</v>
      </c>
      <c r="F53">
        <v>-14710</v>
      </c>
      <c r="G53" t="s">
        <v>425</v>
      </c>
    </row>
    <row r="54" spans="1:7" x14ac:dyDescent="0.25">
      <c r="A54">
        <v>58</v>
      </c>
      <c r="B54" t="s">
        <v>426</v>
      </c>
      <c r="C54" t="s">
        <v>319</v>
      </c>
      <c r="D54" t="s">
        <v>320</v>
      </c>
      <c r="E54">
        <v>-6</v>
      </c>
      <c r="F54">
        <v>-245078</v>
      </c>
      <c r="G54" t="s">
        <v>425</v>
      </c>
    </row>
    <row r="55" spans="1:7" x14ac:dyDescent="0.25">
      <c r="A55">
        <v>59</v>
      </c>
      <c r="B55" t="s">
        <v>426</v>
      </c>
      <c r="C55" t="s">
        <v>414</v>
      </c>
      <c r="D55" t="s">
        <v>415</v>
      </c>
      <c r="E55">
        <v>-71200</v>
      </c>
      <c r="F55">
        <v>-2828651345</v>
      </c>
      <c r="G55" t="s">
        <v>425</v>
      </c>
    </row>
    <row r="56" spans="1:7" x14ac:dyDescent="0.25">
      <c r="A56">
        <v>60</v>
      </c>
      <c r="B56" t="s">
        <v>424</v>
      </c>
      <c r="D56" t="s">
        <v>335</v>
      </c>
      <c r="E56">
        <v>-99998.420000000013</v>
      </c>
      <c r="F56">
        <v>-3972733229</v>
      </c>
      <c r="G56" t="s">
        <v>425</v>
      </c>
    </row>
    <row r="57" spans="1:7" x14ac:dyDescent="0.25">
      <c r="A57">
        <v>61</v>
      </c>
      <c r="B57" t="s">
        <v>426</v>
      </c>
      <c r="C57" t="s">
        <v>337</v>
      </c>
      <c r="D57" t="s">
        <v>338</v>
      </c>
      <c r="E57">
        <v>-10547.37</v>
      </c>
      <c r="F57">
        <v>-419025493</v>
      </c>
      <c r="G57" t="s">
        <v>425</v>
      </c>
    </row>
    <row r="58" spans="1:7" x14ac:dyDescent="0.25">
      <c r="A58">
        <v>62</v>
      </c>
      <c r="B58" t="s">
        <v>426</v>
      </c>
      <c r="C58" t="s">
        <v>340</v>
      </c>
      <c r="D58" t="s">
        <v>341</v>
      </c>
      <c r="E58">
        <v>-20181.900000000001</v>
      </c>
      <c r="F58">
        <v>-801785716</v>
      </c>
      <c r="G58" t="s">
        <v>425</v>
      </c>
    </row>
    <row r="59" spans="1:7" x14ac:dyDescent="0.25">
      <c r="A59">
        <v>63</v>
      </c>
      <c r="B59" t="s">
        <v>426</v>
      </c>
      <c r="C59" t="s">
        <v>343</v>
      </c>
      <c r="D59" t="s">
        <v>344</v>
      </c>
      <c r="E59">
        <v>-20181.900000000001</v>
      </c>
      <c r="F59">
        <v>-801785716</v>
      </c>
      <c r="G59" t="s">
        <v>425</v>
      </c>
    </row>
    <row r="60" spans="1:7" x14ac:dyDescent="0.25">
      <c r="A60">
        <v>64</v>
      </c>
      <c r="B60" t="s">
        <v>426</v>
      </c>
      <c r="C60" t="s">
        <v>561</v>
      </c>
      <c r="D60" t="s">
        <v>540</v>
      </c>
      <c r="E60">
        <v>0</v>
      </c>
      <c r="F60">
        <v>0</v>
      </c>
      <c r="G60" t="s">
        <v>425</v>
      </c>
    </row>
    <row r="61" spans="1:7" x14ac:dyDescent="0.25">
      <c r="A61">
        <v>65</v>
      </c>
      <c r="B61" t="s">
        <v>426</v>
      </c>
      <c r="C61" t="s">
        <v>346</v>
      </c>
      <c r="D61" t="s">
        <v>347</v>
      </c>
      <c r="E61">
        <v>-20181.900000000001</v>
      </c>
      <c r="F61">
        <v>-801785716</v>
      </c>
      <c r="G61" t="s">
        <v>425</v>
      </c>
    </row>
    <row r="62" spans="1:7" x14ac:dyDescent="0.25">
      <c r="A62">
        <v>66</v>
      </c>
      <c r="B62" t="s">
        <v>426</v>
      </c>
      <c r="C62" t="s">
        <v>349</v>
      </c>
      <c r="D62" t="s">
        <v>693</v>
      </c>
      <c r="E62">
        <v>-8906.91</v>
      </c>
      <c r="F62">
        <v>-353853364</v>
      </c>
      <c r="G62" t="s">
        <v>425</v>
      </c>
    </row>
    <row r="63" spans="1:7" x14ac:dyDescent="0.25">
      <c r="A63">
        <v>67</v>
      </c>
      <c r="B63" t="s">
        <v>426</v>
      </c>
      <c r="C63" t="s">
        <v>352</v>
      </c>
      <c r="D63" t="s">
        <v>694</v>
      </c>
      <c r="E63">
        <v>-19998.439999999999</v>
      </c>
      <c r="F63">
        <v>-794497224</v>
      </c>
      <c r="G63" t="s">
        <v>425</v>
      </c>
    </row>
    <row r="64" spans="1:7" x14ac:dyDescent="0.25">
      <c r="A64">
        <v>68</v>
      </c>
      <c r="B64" t="s">
        <v>424</v>
      </c>
      <c r="D64" t="s">
        <v>322</v>
      </c>
      <c r="E64">
        <v>0</v>
      </c>
      <c r="F64">
        <v>0</v>
      </c>
      <c r="G64" t="s">
        <v>425</v>
      </c>
    </row>
    <row r="65" spans="1:7" x14ac:dyDescent="0.25">
      <c r="A65">
        <v>69</v>
      </c>
      <c r="B65" t="s">
        <v>426</v>
      </c>
      <c r="C65" t="s">
        <v>559</v>
      </c>
      <c r="D65" t="s">
        <v>325</v>
      </c>
      <c r="E65">
        <v>0</v>
      </c>
      <c r="F65">
        <v>0</v>
      </c>
      <c r="G65" t="s">
        <v>425</v>
      </c>
    </row>
    <row r="66" spans="1:7" x14ac:dyDescent="0.25">
      <c r="A66">
        <v>70</v>
      </c>
      <c r="B66" t="s">
        <v>424</v>
      </c>
      <c r="D66" t="s">
        <v>360</v>
      </c>
      <c r="E66">
        <v>20426.189999999999</v>
      </c>
      <c r="F66">
        <v>811490344</v>
      </c>
      <c r="G66" t="s">
        <v>425</v>
      </c>
    </row>
    <row r="67" spans="1:7" x14ac:dyDescent="0.25">
      <c r="A67">
        <v>71</v>
      </c>
      <c r="B67" t="s">
        <v>426</v>
      </c>
      <c r="C67" t="s">
        <v>362</v>
      </c>
      <c r="D67" t="s">
        <v>363</v>
      </c>
      <c r="E67">
        <v>-70.569999999999993</v>
      </c>
      <c r="F67">
        <v>-2803782</v>
      </c>
      <c r="G67" t="s">
        <v>425</v>
      </c>
    </row>
    <row r="68" spans="1:7" x14ac:dyDescent="0.25">
      <c r="A68">
        <v>72</v>
      </c>
      <c r="B68" t="s">
        <v>426</v>
      </c>
      <c r="C68" t="s">
        <v>563</v>
      </c>
      <c r="D68" t="s">
        <v>564</v>
      </c>
      <c r="E68">
        <v>0</v>
      </c>
      <c r="F68">
        <v>0</v>
      </c>
      <c r="G68" t="s">
        <v>425</v>
      </c>
    </row>
    <row r="69" spans="1:7" x14ac:dyDescent="0.25">
      <c r="A69">
        <v>73</v>
      </c>
      <c r="B69" t="s">
        <v>426</v>
      </c>
      <c r="C69" t="s">
        <v>565</v>
      </c>
      <c r="D69" t="s">
        <v>566</v>
      </c>
      <c r="E69">
        <v>0</v>
      </c>
      <c r="F69">
        <v>0</v>
      </c>
      <c r="G69" t="s">
        <v>425</v>
      </c>
    </row>
    <row r="70" spans="1:7" x14ac:dyDescent="0.25">
      <c r="A70">
        <v>74</v>
      </c>
      <c r="B70" t="s">
        <v>426</v>
      </c>
      <c r="C70" t="s">
        <v>567</v>
      </c>
      <c r="D70" t="s">
        <v>568</v>
      </c>
      <c r="E70">
        <v>0</v>
      </c>
      <c r="F70">
        <v>0</v>
      </c>
      <c r="G70" t="s">
        <v>425</v>
      </c>
    </row>
    <row r="71" spans="1:7" x14ac:dyDescent="0.25">
      <c r="A71">
        <v>75</v>
      </c>
      <c r="B71" t="s">
        <v>426</v>
      </c>
      <c r="C71" t="s">
        <v>569</v>
      </c>
      <c r="D71" t="s">
        <v>570</v>
      </c>
      <c r="E71">
        <v>0</v>
      </c>
      <c r="F71">
        <v>0</v>
      </c>
      <c r="G71" t="s">
        <v>425</v>
      </c>
    </row>
    <row r="72" spans="1:7" x14ac:dyDescent="0.25">
      <c r="A72">
        <v>76</v>
      </c>
      <c r="B72" t="s">
        <v>426</v>
      </c>
      <c r="C72" t="s">
        <v>695</v>
      </c>
      <c r="D72" t="s">
        <v>696</v>
      </c>
      <c r="E72">
        <v>0</v>
      </c>
      <c r="F72">
        <v>0</v>
      </c>
      <c r="G72" t="s">
        <v>425</v>
      </c>
    </row>
    <row r="73" spans="1:7" x14ac:dyDescent="0.25">
      <c r="A73">
        <v>77</v>
      </c>
      <c r="B73" t="s">
        <v>426</v>
      </c>
      <c r="C73" t="s">
        <v>697</v>
      </c>
      <c r="D73" t="s">
        <v>698</v>
      </c>
      <c r="E73">
        <v>0</v>
      </c>
      <c r="F73">
        <v>0</v>
      </c>
      <c r="G73" t="s">
        <v>425</v>
      </c>
    </row>
    <row r="74" spans="1:7" x14ac:dyDescent="0.25">
      <c r="A74">
        <v>78</v>
      </c>
      <c r="B74" t="s">
        <v>426</v>
      </c>
      <c r="C74" t="s">
        <v>571</v>
      </c>
      <c r="D74" t="s">
        <v>572</v>
      </c>
      <c r="E74">
        <v>0</v>
      </c>
      <c r="F74">
        <v>0</v>
      </c>
      <c r="G74" t="s">
        <v>425</v>
      </c>
    </row>
    <row r="75" spans="1:7" x14ac:dyDescent="0.25">
      <c r="A75">
        <v>79</v>
      </c>
      <c r="B75" t="s">
        <v>426</v>
      </c>
      <c r="C75" t="s">
        <v>365</v>
      </c>
      <c r="D75" t="s">
        <v>366</v>
      </c>
      <c r="E75">
        <v>0</v>
      </c>
      <c r="F75">
        <v>0</v>
      </c>
      <c r="G75" t="s">
        <v>425</v>
      </c>
    </row>
    <row r="76" spans="1:7" x14ac:dyDescent="0.25">
      <c r="A76">
        <v>80</v>
      </c>
      <c r="B76" t="s">
        <v>426</v>
      </c>
      <c r="C76" t="s">
        <v>368</v>
      </c>
      <c r="D76" t="s">
        <v>369</v>
      </c>
      <c r="E76">
        <v>20496.759999999998</v>
      </c>
      <c r="F76">
        <v>814294126</v>
      </c>
      <c r="G76" t="s">
        <v>425</v>
      </c>
    </row>
    <row r="77" spans="1:7" x14ac:dyDescent="0.25">
      <c r="A77">
        <v>81</v>
      </c>
      <c r="B77" t="s">
        <v>426</v>
      </c>
      <c r="C77" t="s">
        <v>575</v>
      </c>
      <c r="D77" t="s">
        <v>576</v>
      </c>
      <c r="E77">
        <v>0</v>
      </c>
      <c r="F77">
        <v>0</v>
      </c>
      <c r="G77" t="s">
        <v>425</v>
      </c>
    </row>
    <row r="78" spans="1:7" x14ac:dyDescent="0.25">
      <c r="A78">
        <v>83</v>
      </c>
      <c r="B78" t="s">
        <v>424</v>
      </c>
      <c r="D78" t="s">
        <v>371</v>
      </c>
      <c r="E78">
        <v>-166848.07999999999</v>
      </c>
      <c r="F78">
        <v>-6630441196</v>
      </c>
      <c r="G78" t="s">
        <v>425</v>
      </c>
    </row>
    <row r="79" spans="1:7" x14ac:dyDescent="0.25">
      <c r="A79">
        <v>85</v>
      </c>
      <c r="B79" t="s">
        <v>424</v>
      </c>
      <c r="D79" t="s">
        <v>373</v>
      </c>
      <c r="E79">
        <v>-2023.4000000000231</v>
      </c>
      <c r="F79">
        <v>-81772752</v>
      </c>
      <c r="G79" t="s">
        <v>425</v>
      </c>
    </row>
    <row r="80" spans="1:7" x14ac:dyDescent="0.25">
      <c r="A80">
        <v>87</v>
      </c>
      <c r="B80" t="s">
        <v>424</v>
      </c>
      <c r="D80" t="s">
        <v>375</v>
      </c>
      <c r="E80">
        <v>0</v>
      </c>
      <c r="F80">
        <v>0</v>
      </c>
      <c r="G80" t="s">
        <v>425</v>
      </c>
    </row>
    <row r="81" spans="1:7" x14ac:dyDescent="0.25">
      <c r="A81">
        <v>88</v>
      </c>
      <c r="B81" t="s">
        <v>426</v>
      </c>
      <c r="C81" t="s">
        <v>699</v>
      </c>
      <c r="D81" t="s">
        <v>700</v>
      </c>
      <c r="E81">
        <v>0</v>
      </c>
      <c r="F81">
        <v>0</v>
      </c>
      <c r="G81" t="s">
        <v>425</v>
      </c>
    </row>
    <row r="82" spans="1:7" x14ac:dyDescent="0.25">
      <c r="A82">
        <v>89</v>
      </c>
      <c r="B82" t="s">
        <v>426</v>
      </c>
      <c r="C82" t="s">
        <v>577</v>
      </c>
      <c r="D82" t="s">
        <v>701</v>
      </c>
      <c r="E82">
        <v>0</v>
      </c>
      <c r="F82">
        <v>0</v>
      </c>
      <c r="G82" t="s">
        <v>425</v>
      </c>
    </row>
    <row r="83" spans="1:7" x14ac:dyDescent="0.25">
      <c r="A83">
        <v>90</v>
      </c>
      <c r="B83" t="s">
        <v>426</v>
      </c>
      <c r="C83" t="s">
        <v>595</v>
      </c>
      <c r="D83" t="s">
        <v>596</v>
      </c>
      <c r="E83">
        <v>0</v>
      </c>
      <c r="F83">
        <v>0</v>
      </c>
      <c r="G83" t="s">
        <v>425</v>
      </c>
    </row>
    <row r="84" spans="1:7" x14ac:dyDescent="0.25">
      <c r="A84">
        <v>91</v>
      </c>
      <c r="B84" t="s">
        <v>426</v>
      </c>
      <c r="C84" t="s">
        <v>702</v>
      </c>
      <c r="D84" t="s">
        <v>703</v>
      </c>
      <c r="E84">
        <v>0</v>
      </c>
      <c r="F84">
        <v>0</v>
      </c>
      <c r="G84" t="s">
        <v>425</v>
      </c>
    </row>
    <row r="85" spans="1:7" x14ac:dyDescent="0.25">
      <c r="A85">
        <v>92</v>
      </c>
      <c r="B85" t="s">
        <v>426</v>
      </c>
      <c r="C85" t="s">
        <v>597</v>
      </c>
      <c r="D85" t="s">
        <v>598</v>
      </c>
      <c r="E85">
        <v>0</v>
      </c>
      <c r="F85">
        <v>0</v>
      </c>
      <c r="G85" t="s">
        <v>425</v>
      </c>
    </row>
    <row r="86" spans="1:7" x14ac:dyDescent="0.25">
      <c r="A86">
        <v>93</v>
      </c>
      <c r="B86" t="s">
        <v>426</v>
      </c>
      <c r="C86" t="s">
        <v>704</v>
      </c>
      <c r="D86" t="s">
        <v>378</v>
      </c>
      <c r="E86">
        <v>0</v>
      </c>
      <c r="F86">
        <v>0</v>
      </c>
      <c r="G86" t="s">
        <v>425</v>
      </c>
    </row>
    <row r="87" spans="1:7" x14ac:dyDescent="0.25">
      <c r="A87">
        <v>94</v>
      </c>
      <c r="B87" t="s">
        <v>426</v>
      </c>
      <c r="C87" t="s">
        <v>705</v>
      </c>
      <c r="D87" t="s">
        <v>706</v>
      </c>
      <c r="E87">
        <v>0</v>
      </c>
      <c r="F87">
        <v>0</v>
      </c>
      <c r="G87" t="s">
        <v>425</v>
      </c>
    </row>
    <row r="88" spans="1:7" x14ac:dyDescent="0.25">
      <c r="A88">
        <v>95</v>
      </c>
      <c r="B88" t="s">
        <v>426</v>
      </c>
      <c r="C88" t="s">
        <v>707</v>
      </c>
      <c r="D88" t="s">
        <v>708</v>
      </c>
      <c r="E88">
        <v>0</v>
      </c>
      <c r="F88">
        <v>0</v>
      </c>
      <c r="G88" t="s">
        <v>425</v>
      </c>
    </row>
    <row r="89" spans="1:7" x14ac:dyDescent="0.25">
      <c r="A89">
        <v>96</v>
      </c>
      <c r="B89" t="s">
        <v>426</v>
      </c>
      <c r="C89" t="s">
        <v>709</v>
      </c>
      <c r="D89" t="s">
        <v>710</v>
      </c>
      <c r="E89">
        <v>0</v>
      </c>
      <c r="F89">
        <v>0</v>
      </c>
      <c r="G89" t="s">
        <v>425</v>
      </c>
    </row>
    <row r="90" spans="1:7" x14ac:dyDescent="0.25">
      <c r="A90">
        <v>97</v>
      </c>
      <c r="B90" t="s">
        <v>426</v>
      </c>
      <c r="C90" t="s">
        <v>711</v>
      </c>
      <c r="D90" t="s">
        <v>712</v>
      </c>
      <c r="E90">
        <v>0</v>
      </c>
      <c r="F90">
        <v>0</v>
      </c>
      <c r="G90" t="s">
        <v>425</v>
      </c>
    </row>
    <row r="91" spans="1:7" x14ac:dyDescent="0.25">
      <c r="A91">
        <v>98</v>
      </c>
      <c r="B91" t="s">
        <v>426</v>
      </c>
      <c r="C91" t="s">
        <v>601</v>
      </c>
      <c r="D91" t="s">
        <v>602</v>
      </c>
      <c r="E91">
        <v>0</v>
      </c>
      <c r="F91">
        <v>0</v>
      </c>
      <c r="G91" t="s">
        <v>425</v>
      </c>
    </row>
    <row r="92" spans="1:7" x14ac:dyDescent="0.25">
      <c r="A92">
        <v>99</v>
      </c>
      <c r="B92" t="s">
        <v>424</v>
      </c>
      <c r="D92" t="s">
        <v>383</v>
      </c>
      <c r="E92">
        <v>2023.4</v>
      </c>
      <c r="F92">
        <v>81772752</v>
      </c>
      <c r="G92" t="s">
        <v>425</v>
      </c>
    </row>
    <row r="93" spans="1:7" x14ac:dyDescent="0.25">
      <c r="A93">
        <v>100</v>
      </c>
      <c r="B93" t="s">
        <v>426</v>
      </c>
      <c r="C93" t="s">
        <v>713</v>
      </c>
      <c r="D93" t="s">
        <v>714</v>
      </c>
      <c r="E93">
        <v>0</v>
      </c>
      <c r="F93">
        <v>0</v>
      </c>
      <c r="G93" t="s">
        <v>425</v>
      </c>
    </row>
    <row r="94" spans="1:7" x14ac:dyDescent="0.25">
      <c r="A94">
        <v>101</v>
      </c>
      <c r="B94" t="s">
        <v>426</v>
      </c>
      <c r="C94" t="s">
        <v>715</v>
      </c>
      <c r="D94" t="s">
        <v>610</v>
      </c>
      <c r="E94">
        <v>0</v>
      </c>
      <c r="F94">
        <v>0</v>
      </c>
      <c r="G94" t="s">
        <v>425</v>
      </c>
    </row>
    <row r="95" spans="1:7" x14ac:dyDescent="0.25">
      <c r="A95">
        <v>102</v>
      </c>
      <c r="B95" t="s">
        <v>426</v>
      </c>
      <c r="C95" t="s">
        <v>716</v>
      </c>
      <c r="D95" t="s">
        <v>122</v>
      </c>
      <c r="E95">
        <v>0</v>
      </c>
      <c r="F95">
        <v>0</v>
      </c>
      <c r="G95" t="s">
        <v>425</v>
      </c>
    </row>
    <row r="96" spans="1:7" x14ac:dyDescent="0.25">
      <c r="A96">
        <v>103</v>
      </c>
      <c r="B96" t="s">
        <v>426</v>
      </c>
      <c r="C96" t="s">
        <v>717</v>
      </c>
      <c r="D96" t="s">
        <v>718</v>
      </c>
      <c r="E96">
        <v>0</v>
      </c>
      <c r="F96">
        <v>0</v>
      </c>
      <c r="G96" t="s">
        <v>425</v>
      </c>
    </row>
    <row r="97" spans="1:7" x14ac:dyDescent="0.25">
      <c r="A97">
        <v>104</v>
      </c>
      <c r="B97" t="s">
        <v>426</v>
      </c>
      <c r="C97" t="s">
        <v>613</v>
      </c>
      <c r="D97" t="s">
        <v>392</v>
      </c>
      <c r="E97">
        <v>0</v>
      </c>
      <c r="F97">
        <v>0</v>
      </c>
      <c r="G97" t="s">
        <v>425</v>
      </c>
    </row>
    <row r="98" spans="1:7" x14ac:dyDescent="0.25">
      <c r="A98">
        <v>105</v>
      </c>
      <c r="B98" t="s">
        <v>426</v>
      </c>
      <c r="C98" t="s">
        <v>719</v>
      </c>
      <c r="D98" t="s">
        <v>720</v>
      </c>
      <c r="E98">
        <v>0</v>
      </c>
      <c r="F98">
        <v>0</v>
      </c>
      <c r="G98" t="s">
        <v>425</v>
      </c>
    </row>
    <row r="99" spans="1:7" x14ac:dyDescent="0.25">
      <c r="A99">
        <v>106</v>
      </c>
      <c r="B99" t="s">
        <v>426</v>
      </c>
      <c r="C99" t="s">
        <v>721</v>
      </c>
      <c r="D99" t="s">
        <v>395</v>
      </c>
      <c r="E99">
        <v>0</v>
      </c>
      <c r="F99">
        <v>0</v>
      </c>
      <c r="G99" t="s">
        <v>425</v>
      </c>
    </row>
    <row r="100" spans="1:7" x14ac:dyDescent="0.25">
      <c r="A100">
        <v>107</v>
      </c>
      <c r="B100" t="s">
        <v>426</v>
      </c>
      <c r="C100" t="s">
        <v>385</v>
      </c>
      <c r="D100" t="s">
        <v>386</v>
      </c>
      <c r="E100">
        <v>1.38</v>
      </c>
      <c r="F100">
        <v>55000</v>
      </c>
      <c r="G100" t="s">
        <v>425</v>
      </c>
    </row>
    <row r="101" spans="1:7" x14ac:dyDescent="0.25">
      <c r="A101">
        <v>108</v>
      </c>
      <c r="B101" t="s">
        <v>426</v>
      </c>
      <c r="C101" t="s">
        <v>722</v>
      </c>
      <c r="D101" t="s">
        <v>636</v>
      </c>
      <c r="E101">
        <v>0</v>
      </c>
      <c r="F101">
        <v>0</v>
      </c>
      <c r="G101" t="s">
        <v>425</v>
      </c>
    </row>
    <row r="102" spans="1:7" x14ac:dyDescent="0.25">
      <c r="A102">
        <v>109</v>
      </c>
      <c r="B102" t="s">
        <v>426</v>
      </c>
      <c r="C102" t="s">
        <v>723</v>
      </c>
      <c r="D102" t="s">
        <v>724</v>
      </c>
      <c r="E102">
        <v>0</v>
      </c>
      <c r="F102">
        <v>0</v>
      </c>
      <c r="G102" t="s">
        <v>425</v>
      </c>
    </row>
    <row r="103" spans="1:7" x14ac:dyDescent="0.25">
      <c r="A103">
        <v>110</v>
      </c>
      <c r="B103" t="s">
        <v>426</v>
      </c>
      <c r="C103" t="s">
        <v>623</v>
      </c>
      <c r="D103" t="s">
        <v>624</v>
      </c>
      <c r="E103">
        <v>0</v>
      </c>
      <c r="F103">
        <v>0</v>
      </c>
      <c r="G103" t="s">
        <v>425</v>
      </c>
    </row>
    <row r="104" spans="1:7" x14ac:dyDescent="0.25">
      <c r="A104">
        <v>111</v>
      </c>
      <c r="B104" t="s">
        <v>426</v>
      </c>
      <c r="C104" t="s">
        <v>388</v>
      </c>
      <c r="D104" t="s">
        <v>389</v>
      </c>
      <c r="E104">
        <v>22</v>
      </c>
      <c r="F104">
        <v>898585</v>
      </c>
      <c r="G104" t="s">
        <v>425</v>
      </c>
    </row>
    <row r="105" spans="1:7" x14ac:dyDescent="0.25">
      <c r="A105">
        <v>112</v>
      </c>
      <c r="B105" t="s">
        <v>426</v>
      </c>
      <c r="C105" t="s">
        <v>391</v>
      </c>
      <c r="D105" t="s">
        <v>392</v>
      </c>
      <c r="E105">
        <v>18.88</v>
      </c>
      <c r="F105">
        <v>761317</v>
      </c>
      <c r="G105" t="s">
        <v>425</v>
      </c>
    </row>
    <row r="106" spans="1:7" x14ac:dyDescent="0.25">
      <c r="A106">
        <v>113</v>
      </c>
      <c r="B106" t="s">
        <v>426</v>
      </c>
      <c r="C106" t="s">
        <v>394</v>
      </c>
      <c r="D106" t="s">
        <v>395</v>
      </c>
      <c r="E106">
        <v>23.83</v>
      </c>
      <c r="F106">
        <v>960556</v>
      </c>
      <c r="G106" t="s">
        <v>425</v>
      </c>
    </row>
    <row r="107" spans="1:7" x14ac:dyDescent="0.25">
      <c r="A107">
        <v>114</v>
      </c>
      <c r="B107" t="s">
        <v>426</v>
      </c>
      <c r="C107" t="s">
        <v>725</v>
      </c>
      <c r="D107" t="s">
        <v>724</v>
      </c>
      <c r="E107">
        <v>0</v>
      </c>
      <c r="F107">
        <v>0</v>
      </c>
      <c r="G107" t="s">
        <v>425</v>
      </c>
    </row>
    <row r="108" spans="1:7" x14ac:dyDescent="0.25">
      <c r="A108">
        <v>115</v>
      </c>
      <c r="B108" t="s">
        <v>426</v>
      </c>
      <c r="C108" t="s">
        <v>397</v>
      </c>
      <c r="D108" t="s">
        <v>398</v>
      </c>
      <c r="E108">
        <v>4.7300000000000004</v>
      </c>
      <c r="F108">
        <v>191390</v>
      </c>
      <c r="G108" t="s">
        <v>425</v>
      </c>
    </row>
    <row r="109" spans="1:7" x14ac:dyDescent="0.25">
      <c r="A109">
        <v>116</v>
      </c>
      <c r="B109" t="s">
        <v>426</v>
      </c>
      <c r="C109" t="s">
        <v>400</v>
      </c>
      <c r="D109" t="s">
        <v>258</v>
      </c>
      <c r="E109">
        <v>12.56</v>
      </c>
      <c r="F109">
        <v>502589</v>
      </c>
      <c r="G109" t="s">
        <v>425</v>
      </c>
    </row>
    <row r="110" spans="1:7" x14ac:dyDescent="0.25">
      <c r="A110">
        <v>117</v>
      </c>
      <c r="B110" t="s">
        <v>426</v>
      </c>
      <c r="C110" t="s">
        <v>726</v>
      </c>
      <c r="D110" t="s">
        <v>727</v>
      </c>
      <c r="E110">
        <v>0</v>
      </c>
      <c r="F110">
        <v>0</v>
      </c>
      <c r="G110" t="s">
        <v>425</v>
      </c>
    </row>
    <row r="111" spans="1:7" x14ac:dyDescent="0.25">
      <c r="A111">
        <v>118</v>
      </c>
      <c r="B111" t="s">
        <v>426</v>
      </c>
      <c r="C111" t="s">
        <v>402</v>
      </c>
      <c r="D111" t="s">
        <v>403</v>
      </c>
      <c r="E111">
        <v>39.92</v>
      </c>
      <c r="F111">
        <v>1589064</v>
      </c>
      <c r="G111" t="s">
        <v>425</v>
      </c>
    </row>
    <row r="112" spans="1:7" x14ac:dyDescent="0.25">
      <c r="A112">
        <v>119</v>
      </c>
      <c r="B112" t="s">
        <v>426</v>
      </c>
      <c r="C112" t="s">
        <v>642</v>
      </c>
      <c r="D112" t="s">
        <v>643</v>
      </c>
      <c r="E112">
        <v>0</v>
      </c>
      <c r="F112">
        <v>0</v>
      </c>
      <c r="G112" t="s">
        <v>425</v>
      </c>
    </row>
    <row r="113" spans="1:7" x14ac:dyDescent="0.25">
      <c r="A113">
        <v>120</v>
      </c>
      <c r="B113" t="s">
        <v>426</v>
      </c>
      <c r="C113" t="s">
        <v>644</v>
      </c>
      <c r="D113" t="s">
        <v>645</v>
      </c>
      <c r="E113">
        <v>0</v>
      </c>
      <c r="F113">
        <v>0</v>
      </c>
      <c r="G113" t="s">
        <v>425</v>
      </c>
    </row>
    <row r="114" spans="1:7" x14ac:dyDescent="0.25">
      <c r="A114">
        <v>121</v>
      </c>
      <c r="B114" t="s">
        <v>426</v>
      </c>
      <c r="C114" t="s">
        <v>728</v>
      </c>
      <c r="D114" t="s">
        <v>729</v>
      </c>
      <c r="E114">
        <v>0</v>
      </c>
      <c r="F114">
        <v>0</v>
      </c>
      <c r="G114" t="s">
        <v>425</v>
      </c>
    </row>
    <row r="115" spans="1:7" x14ac:dyDescent="0.25">
      <c r="A115">
        <v>122</v>
      </c>
      <c r="B115" t="s">
        <v>426</v>
      </c>
      <c r="C115" t="s">
        <v>648</v>
      </c>
      <c r="D115" t="s">
        <v>649</v>
      </c>
      <c r="E115">
        <v>0</v>
      </c>
      <c r="F115">
        <v>0</v>
      </c>
      <c r="G115" t="s">
        <v>425</v>
      </c>
    </row>
    <row r="116" spans="1:7" x14ac:dyDescent="0.25">
      <c r="A116">
        <v>123</v>
      </c>
      <c r="B116" t="s">
        <v>426</v>
      </c>
      <c r="C116" t="s">
        <v>405</v>
      </c>
      <c r="D116" t="s">
        <v>270</v>
      </c>
      <c r="E116">
        <v>1900.1</v>
      </c>
      <c r="F116">
        <v>76814251</v>
      </c>
      <c r="G116" t="s">
        <v>425</v>
      </c>
    </row>
    <row r="117" spans="1:7" x14ac:dyDescent="0.25">
      <c r="A117">
        <v>124</v>
      </c>
      <c r="B117" t="s">
        <v>426</v>
      </c>
      <c r="C117" t="s">
        <v>650</v>
      </c>
      <c r="D117" t="s">
        <v>651</v>
      </c>
      <c r="E117">
        <v>0</v>
      </c>
      <c r="F117">
        <v>0</v>
      </c>
      <c r="G117" t="s">
        <v>425</v>
      </c>
    </row>
    <row r="118" spans="1:7" x14ac:dyDescent="0.25">
      <c r="A118">
        <v>125</v>
      </c>
      <c r="B118" t="s">
        <v>426</v>
      </c>
      <c r="C118" t="s">
        <v>652</v>
      </c>
      <c r="D118" t="s">
        <v>730</v>
      </c>
      <c r="E118">
        <v>0</v>
      </c>
      <c r="F118">
        <v>0</v>
      </c>
      <c r="G118" t="s">
        <v>425</v>
      </c>
    </row>
    <row r="119" spans="1:7" x14ac:dyDescent="0.25">
      <c r="A119">
        <v>126</v>
      </c>
      <c r="B119" t="s">
        <v>426</v>
      </c>
      <c r="C119" t="s">
        <v>731</v>
      </c>
      <c r="D119" t="s">
        <v>732</v>
      </c>
      <c r="E119">
        <v>0</v>
      </c>
      <c r="F119">
        <v>0</v>
      </c>
      <c r="G119" t="s">
        <v>425</v>
      </c>
    </row>
    <row r="120" spans="1:7" x14ac:dyDescent="0.25">
      <c r="A120">
        <v>127</v>
      </c>
      <c r="B120" t="s">
        <v>426</v>
      </c>
      <c r="C120" t="s">
        <v>733</v>
      </c>
      <c r="D120" t="s">
        <v>734</v>
      </c>
      <c r="E120">
        <v>0</v>
      </c>
      <c r="F120">
        <v>0</v>
      </c>
      <c r="G120" t="s">
        <v>425</v>
      </c>
    </row>
    <row r="121" spans="1:7" x14ac:dyDescent="0.25">
      <c r="A121">
        <v>128</v>
      </c>
      <c r="B121" t="s">
        <v>426</v>
      </c>
      <c r="C121" t="s">
        <v>735</v>
      </c>
      <c r="D121" t="s">
        <v>736</v>
      </c>
      <c r="E121">
        <v>0</v>
      </c>
      <c r="F121">
        <v>0</v>
      </c>
      <c r="G121" t="s">
        <v>425</v>
      </c>
    </row>
    <row r="122" spans="1:7" x14ac:dyDescent="0.25">
      <c r="A122">
        <v>129</v>
      </c>
      <c r="B122" t="s">
        <v>426</v>
      </c>
      <c r="C122" t="s">
        <v>654</v>
      </c>
      <c r="D122" t="s">
        <v>655</v>
      </c>
      <c r="E122">
        <v>0</v>
      </c>
      <c r="F122">
        <v>0</v>
      </c>
      <c r="G122" t="s">
        <v>425</v>
      </c>
    </row>
    <row r="123" spans="1:7" x14ac:dyDescent="0.25">
      <c r="A123">
        <v>130</v>
      </c>
      <c r="B123" t="s">
        <v>426</v>
      </c>
      <c r="C123" t="s">
        <v>656</v>
      </c>
      <c r="D123" t="s">
        <v>657</v>
      </c>
      <c r="E123">
        <v>0</v>
      </c>
      <c r="F123">
        <v>0</v>
      </c>
      <c r="G123" t="s">
        <v>425</v>
      </c>
    </row>
    <row r="124" spans="1:7" x14ac:dyDescent="0.25">
      <c r="A124">
        <v>131</v>
      </c>
      <c r="B124" t="s">
        <v>426</v>
      </c>
      <c r="C124" t="s">
        <v>658</v>
      </c>
      <c r="D124" t="s">
        <v>659</v>
      </c>
      <c r="E124">
        <v>0</v>
      </c>
      <c r="F124">
        <v>0</v>
      </c>
      <c r="G124" t="s">
        <v>425</v>
      </c>
    </row>
    <row r="125" spans="1:7" x14ac:dyDescent="0.25">
      <c r="A125">
        <v>132</v>
      </c>
      <c r="B125" t="s">
        <v>426</v>
      </c>
      <c r="C125" t="s">
        <v>737</v>
      </c>
      <c r="D125" t="s">
        <v>738</v>
      </c>
      <c r="E125">
        <v>0</v>
      </c>
      <c r="F125">
        <v>0</v>
      </c>
      <c r="G125" t="s">
        <v>425</v>
      </c>
    </row>
    <row r="126" spans="1:7" x14ac:dyDescent="0.25">
      <c r="A126">
        <v>134</v>
      </c>
      <c r="B126" t="s">
        <v>424</v>
      </c>
      <c r="D126" t="s">
        <v>407</v>
      </c>
      <c r="E126">
        <v>2023.4</v>
      </c>
      <c r="F126">
        <v>81772752</v>
      </c>
      <c r="G126" t="s">
        <v>425</v>
      </c>
    </row>
    <row r="127" spans="1:7" x14ac:dyDescent="0.25">
      <c r="A127">
        <v>136</v>
      </c>
      <c r="B127" t="s">
        <v>424</v>
      </c>
      <c r="D127" t="s">
        <v>409</v>
      </c>
      <c r="E127">
        <v>-2.3419488570652899E-11</v>
      </c>
      <c r="F127">
        <v>0</v>
      </c>
      <c r="G127" t="s">
        <v>425</v>
      </c>
    </row>
  </sheetData>
  <autoFilter ref="A1:G12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3"/>
  <sheetViews>
    <sheetView workbookViewId="0">
      <pane ySplit="1" topLeftCell="A2" activePane="bottomLeft" state="frozen"/>
      <selection pane="bottomLeft" activeCell="D27" sqref="D27"/>
    </sheetView>
  </sheetViews>
  <sheetFormatPr defaultRowHeight="15" x14ac:dyDescent="0.25"/>
  <cols>
    <col min="1" max="1" width="15.7109375" customWidth="1"/>
    <col min="2" max="2" width="18.7109375" customWidth="1"/>
    <col min="3" max="3" width="33.7109375" customWidth="1"/>
    <col min="4" max="4" width="28.7109375" customWidth="1"/>
    <col min="5" max="5" width="95.7109375" customWidth="1"/>
    <col min="6" max="6" width="38.7109375" customWidth="1"/>
  </cols>
  <sheetData>
    <row r="1" spans="1:6" x14ac:dyDescent="0.25">
      <c r="A1" s="1" t="s">
        <v>739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</row>
    <row r="2" spans="1:6" x14ac:dyDescent="0.25">
      <c r="A2" t="s">
        <v>745</v>
      </c>
      <c r="B2" t="s">
        <v>1</v>
      </c>
      <c r="C2" t="s">
        <v>746</v>
      </c>
      <c r="D2" t="s">
        <v>75</v>
      </c>
      <c r="E2" t="s">
        <v>747</v>
      </c>
      <c r="F2" t="s">
        <v>425</v>
      </c>
    </row>
    <row r="3" spans="1:6" x14ac:dyDescent="0.25">
      <c r="A3" t="s">
        <v>745</v>
      </c>
      <c r="B3" t="s">
        <v>1</v>
      </c>
      <c r="C3" t="s">
        <v>746</v>
      </c>
      <c r="D3" t="s">
        <v>191</v>
      </c>
      <c r="E3" t="s">
        <v>748</v>
      </c>
      <c r="F3" t="s">
        <v>425</v>
      </c>
    </row>
    <row r="4" spans="1:6" x14ac:dyDescent="0.25">
      <c r="A4" t="s">
        <v>745</v>
      </c>
      <c r="B4" t="s">
        <v>1</v>
      </c>
      <c r="C4" t="s">
        <v>746</v>
      </c>
      <c r="D4" t="s">
        <v>195</v>
      </c>
      <c r="E4" t="s">
        <v>749</v>
      </c>
      <c r="F4" t="s">
        <v>425</v>
      </c>
    </row>
    <row r="5" spans="1:6" x14ac:dyDescent="0.25">
      <c r="A5" t="s">
        <v>745</v>
      </c>
      <c r="B5" t="s">
        <v>1</v>
      </c>
      <c r="C5" t="s">
        <v>746</v>
      </c>
      <c r="D5" t="s">
        <v>294</v>
      </c>
      <c r="E5" t="s">
        <v>750</v>
      </c>
      <c r="F5" t="s">
        <v>425</v>
      </c>
    </row>
    <row r="6" spans="1:6" x14ac:dyDescent="0.25">
      <c r="A6" t="s">
        <v>745</v>
      </c>
      <c r="B6" t="s">
        <v>1</v>
      </c>
      <c r="C6" t="s">
        <v>746</v>
      </c>
      <c r="D6" t="s">
        <v>371</v>
      </c>
      <c r="E6" t="s">
        <v>751</v>
      </c>
      <c r="F6" t="s">
        <v>425</v>
      </c>
    </row>
    <row r="7" spans="1:6" x14ac:dyDescent="0.25">
      <c r="A7" t="s">
        <v>745</v>
      </c>
      <c r="B7" t="s">
        <v>1</v>
      </c>
      <c r="C7" t="s">
        <v>746</v>
      </c>
      <c r="D7" t="s">
        <v>373</v>
      </c>
      <c r="E7" t="s">
        <v>752</v>
      </c>
      <c r="F7" t="s">
        <v>425</v>
      </c>
    </row>
    <row r="8" spans="1:6" x14ac:dyDescent="0.25">
      <c r="A8" t="s">
        <v>745</v>
      </c>
      <c r="B8" t="s">
        <v>1</v>
      </c>
      <c r="C8" t="s">
        <v>746</v>
      </c>
      <c r="D8" t="s">
        <v>407</v>
      </c>
      <c r="E8" t="s">
        <v>753</v>
      </c>
      <c r="F8" t="s">
        <v>425</v>
      </c>
    </row>
    <row r="9" spans="1:6" x14ac:dyDescent="0.25">
      <c r="A9" t="s">
        <v>745</v>
      </c>
      <c r="B9" t="s">
        <v>1</v>
      </c>
      <c r="C9" t="s">
        <v>746</v>
      </c>
      <c r="D9" t="s">
        <v>409</v>
      </c>
      <c r="E9" t="s">
        <v>754</v>
      </c>
      <c r="F9" t="s">
        <v>425</v>
      </c>
    </row>
    <row r="10" spans="1:6" x14ac:dyDescent="0.25">
      <c r="A10" t="s">
        <v>755</v>
      </c>
      <c r="B10" t="s">
        <v>1</v>
      </c>
      <c r="C10" t="s">
        <v>756</v>
      </c>
      <c r="D10" t="s">
        <v>757</v>
      </c>
      <c r="E10" t="s">
        <v>758</v>
      </c>
      <c r="F10" t="s">
        <v>425</v>
      </c>
    </row>
    <row r="11" spans="1:6" x14ac:dyDescent="0.25">
      <c r="A11" t="s">
        <v>745</v>
      </c>
      <c r="B11" t="s">
        <v>2</v>
      </c>
      <c r="C11" t="s">
        <v>746</v>
      </c>
      <c r="D11" t="s">
        <v>294</v>
      </c>
      <c r="E11" t="s">
        <v>759</v>
      </c>
      <c r="F11" t="s">
        <v>425</v>
      </c>
    </row>
    <row r="12" spans="1:6" x14ac:dyDescent="0.25">
      <c r="A12" t="s">
        <v>745</v>
      </c>
      <c r="B12" t="s">
        <v>2</v>
      </c>
      <c r="C12" t="s">
        <v>746</v>
      </c>
      <c r="D12" t="s">
        <v>371</v>
      </c>
      <c r="E12" t="s">
        <v>760</v>
      </c>
      <c r="F12" t="s">
        <v>425</v>
      </c>
    </row>
    <row r="13" spans="1:6" x14ac:dyDescent="0.25">
      <c r="A13" t="s">
        <v>745</v>
      </c>
      <c r="B13" t="s">
        <v>2</v>
      </c>
      <c r="C13" t="s">
        <v>746</v>
      </c>
      <c r="D13" t="s">
        <v>373</v>
      </c>
      <c r="E13" t="s">
        <v>761</v>
      </c>
      <c r="F13" t="s">
        <v>425</v>
      </c>
    </row>
    <row r="14" spans="1:6" x14ac:dyDescent="0.25">
      <c r="A14" t="s">
        <v>745</v>
      </c>
      <c r="B14" t="s">
        <v>2</v>
      </c>
      <c r="C14" t="s">
        <v>746</v>
      </c>
      <c r="D14" t="s">
        <v>407</v>
      </c>
      <c r="E14" t="s">
        <v>762</v>
      </c>
      <c r="F14" t="s">
        <v>425</v>
      </c>
    </row>
    <row r="15" spans="1:6" x14ac:dyDescent="0.25">
      <c r="A15" t="s">
        <v>745</v>
      </c>
      <c r="B15" t="s">
        <v>2</v>
      </c>
      <c r="C15" t="s">
        <v>746</v>
      </c>
      <c r="D15" t="s">
        <v>409</v>
      </c>
      <c r="E15" t="s">
        <v>763</v>
      </c>
      <c r="F15" t="s">
        <v>425</v>
      </c>
    </row>
    <row r="16" spans="1:6" x14ac:dyDescent="0.25">
      <c r="A16" t="s">
        <v>755</v>
      </c>
      <c r="B16" t="s">
        <v>2</v>
      </c>
      <c r="C16" t="s">
        <v>756</v>
      </c>
      <c r="D16" t="s">
        <v>757</v>
      </c>
      <c r="E16" t="s">
        <v>764</v>
      </c>
      <c r="F16" t="s">
        <v>425</v>
      </c>
    </row>
    <row r="17" spans="1:6" x14ac:dyDescent="0.25">
      <c r="A17" t="s">
        <v>745</v>
      </c>
      <c r="B17" t="s">
        <v>765</v>
      </c>
      <c r="C17" t="s">
        <v>766</v>
      </c>
      <c r="D17" t="s">
        <v>427</v>
      </c>
      <c r="E17" t="s">
        <v>767</v>
      </c>
      <c r="F17" t="s">
        <v>768</v>
      </c>
    </row>
    <row r="18" spans="1:6" x14ac:dyDescent="0.25">
      <c r="A18" t="s">
        <v>755</v>
      </c>
      <c r="B18" t="s">
        <v>765</v>
      </c>
      <c r="C18" t="s">
        <v>769</v>
      </c>
      <c r="D18" t="s">
        <v>21</v>
      </c>
      <c r="E18" t="s">
        <v>22</v>
      </c>
      <c r="F18" t="s">
        <v>24</v>
      </c>
    </row>
    <row r="19" spans="1:6" x14ac:dyDescent="0.25">
      <c r="A19" t="s">
        <v>745</v>
      </c>
      <c r="B19" t="s">
        <v>765</v>
      </c>
      <c r="C19" t="s">
        <v>770</v>
      </c>
      <c r="D19" t="s">
        <v>430</v>
      </c>
      <c r="E19" t="s">
        <v>33</v>
      </c>
      <c r="F19" t="s">
        <v>771</v>
      </c>
    </row>
    <row r="20" spans="1:6" x14ac:dyDescent="0.25">
      <c r="A20" t="s">
        <v>745</v>
      </c>
      <c r="B20" t="s">
        <v>765</v>
      </c>
      <c r="C20" t="s">
        <v>766</v>
      </c>
      <c r="D20" t="s">
        <v>430</v>
      </c>
      <c r="E20" t="s">
        <v>767</v>
      </c>
      <c r="F20" t="s">
        <v>771</v>
      </c>
    </row>
    <row r="21" spans="1:6" x14ac:dyDescent="0.25">
      <c r="A21" t="s">
        <v>745</v>
      </c>
      <c r="B21" t="s">
        <v>765</v>
      </c>
      <c r="C21" t="s">
        <v>766</v>
      </c>
      <c r="D21" t="s">
        <v>432</v>
      </c>
      <c r="E21" t="s">
        <v>767</v>
      </c>
      <c r="F21" t="s">
        <v>772</v>
      </c>
    </row>
    <row r="22" spans="1:6" x14ac:dyDescent="0.25">
      <c r="A22" t="s">
        <v>755</v>
      </c>
      <c r="B22" t="s">
        <v>765</v>
      </c>
      <c r="C22" t="s">
        <v>773</v>
      </c>
      <c r="D22" t="s">
        <v>25</v>
      </c>
      <c r="E22" t="s">
        <v>774</v>
      </c>
      <c r="F22" t="s">
        <v>28</v>
      </c>
    </row>
    <row r="23" spans="1:6" x14ac:dyDescent="0.25">
      <c r="A23" t="s">
        <v>745</v>
      </c>
      <c r="B23" t="s">
        <v>765</v>
      </c>
      <c r="C23" t="s">
        <v>770</v>
      </c>
      <c r="D23" t="s">
        <v>775</v>
      </c>
      <c r="E23" t="s">
        <v>33</v>
      </c>
      <c r="F23" t="s">
        <v>34</v>
      </c>
    </row>
    <row r="24" spans="1:6" x14ac:dyDescent="0.25">
      <c r="A24" t="s">
        <v>745</v>
      </c>
      <c r="B24" t="s">
        <v>765</v>
      </c>
      <c r="C24" t="s">
        <v>770</v>
      </c>
      <c r="D24" t="s">
        <v>35</v>
      </c>
      <c r="E24" t="s">
        <v>33</v>
      </c>
      <c r="F24" t="s">
        <v>37</v>
      </c>
    </row>
    <row r="25" spans="1:6" x14ac:dyDescent="0.25">
      <c r="A25" t="s">
        <v>745</v>
      </c>
      <c r="B25" t="s">
        <v>765</v>
      </c>
      <c r="C25" t="s">
        <v>770</v>
      </c>
      <c r="D25" t="s">
        <v>776</v>
      </c>
      <c r="E25" t="s">
        <v>33</v>
      </c>
      <c r="F25" t="s">
        <v>39</v>
      </c>
    </row>
    <row r="26" spans="1:6" x14ac:dyDescent="0.25">
      <c r="A26" t="s">
        <v>745</v>
      </c>
      <c r="B26" t="s">
        <v>765</v>
      </c>
      <c r="C26" t="s">
        <v>770</v>
      </c>
      <c r="D26" t="s">
        <v>434</v>
      </c>
      <c r="E26" t="s">
        <v>33</v>
      </c>
      <c r="F26" t="s">
        <v>777</v>
      </c>
    </row>
    <row r="27" spans="1:6" x14ac:dyDescent="0.25">
      <c r="A27" t="s">
        <v>745</v>
      </c>
      <c r="B27" t="s">
        <v>765</v>
      </c>
      <c r="C27" t="s">
        <v>766</v>
      </c>
      <c r="D27" t="s">
        <v>434</v>
      </c>
      <c r="E27" t="s">
        <v>767</v>
      </c>
      <c r="F27" t="s">
        <v>777</v>
      </c>
    </row>
    <row r="28" spans="1:6" x14ac:dyDescent="0.25">
      <c r="A28" t="s">
        <v>745</v>
      </c>
      <c r="B28" t="s">
        <v>765</v>
      </c>
      <c r="C28" t="s">
        <v>766</v>
      </c>
      <c r="D28" t="s">
        <v>436</v>
      </c>
      <c r="E28" t="s">
        <v>767</v>
      </c>
      <c r="F28" t="s">
        <v>778</v>
      </c>
    </row>
    <row r="29" spans="1:6" x14ac:dyDescent="0.25">
      <c r="A29" t="s">
        <v>745</v>
      </c>
      <c r="B29" t="s">
        <v>765</v>
      </c>
      <c r="C29" t="s">
        <v>770</v>
      </c>
      <c r="D29" t="s">
        <v>438</v>
      </c>
      <c r="E29" t="s">
        <v>33</v>
      </c>
      <c r="F29" t="s">
        <v>779</v>
      </c>
    </row>
    <row r="30" spans="1:6" x14ac:dyDescent="0.25">
      <c r="A30" t="s">
        <v>745</v>
      </c>
      <c r="B30" t="s">
        <v>765</v>
      </c>
      <c r="C30" t="s">
        <v>766</v>
      </c>
      <c r="D30" t="s">
        <v>438</v>
      </c>
      <c r="E30" t="s">
        <v>767</v>
      </c>
      <c r="F30" t="s">
        <v>779</v>
      </c>
    </row>
    <row r="31" spans="1:6" x14ac:dyDescent="0.25">
      <c r="A31" t="s">
        <v>745</v>
      </c>
      <c r="B31" t="s">
        <v>765</v>
      </c>
      <c r="C31" t="s">
        <v>770</v>
      </c>
      <c r="D31" t="s">
        <v>440</v>
      </c>
      <c r="E31" t="s">
        <v>33</v>
      </c>
      <c r="F31" t="s">
        <v>780</v>
      </c>
    </row>
    <row r="32" spans="1:6" x14ac:dyDescent="0.25">
      <c r="A32" t="s">
        <v>745</v>
      </c>
      <c r="B32" t="s">
        <v>765</v>
      </c>
      <c r="C32" t="s">
        <v>766</v>
      </c>
      <c r="D32" t="s">
        <v>440</v>
      </c>
      <c r="E32" t="s">
        <v>767</v>
      </c>
      <c r="F32" t="s">
        <v>780</v>
      </c>
    </row>
    <row r="33" spans="1:6" x14ac:dyDescent="0.25">
      <c r="A33" t="s">
        <v>745</v>
      </c>
      <c r="B33" t="s">
        <v>765</v>
      </c>
      <c r="C33" t="s">
        <v>770</v>
      </c>
      <c r="D33" t="s">
        <v>50</v>
      </c>
      <c r="E33" t="s">
        <v>33</v>
      </c>
      <c r="F33" t="s">
        <v>52</v>
      </c>
    </row>
    <row r="34" spans="1:6" x14ac:dyDescent="0.25">
      <c r="A34" t="s">
        <v>745</v>
      </c>
      <c r="B34" t="s">
        <v>765</v>
      </c>
      <c r="C34" t="s">
        <v>770</v>
      </c>
      <c r="D34" t="s">
        <v>442</v>
      </c>
      <c r="E34" t="s">
        <v>33</v>
      </c>
      <c r="F34" t="s">
        <v>781</v>
      </c>
    </row>
    <row r="35" spans="1:6" x14ac:dyDescent="0.25">
      <c r="A35" t="s">
        <v>745</v>
      </c>
      <c r="B35" t="s">
        <v>765</v>
      </c>
      <c r="C35" t="s">
        <v>766</v>
      </c>
      <c r="D35" t="s">
        <v>442</v>
      </c>
      <c r="E35" t="s">
        <v>767</v>
      </c>
      <c r="F35" t="s">
        <v>781</v>
      </c>
    </row>
    <row r="36" spans="1:6" x14ac:dyDescent="0.25">
      <c r="A36" t="s">
        <v>745</v>
      </c>
      <c r="B36" t="s">
        <v>765</v>
      </c>
      <c r="C36" t="s">
        <v>770</v>
      </c>
      <c r="D36" t="s">
        <v>444</v>
      </c>
      <c r="E36" t="s">
        <v>33</v>
      </c>
      <c r="F36" t="s">
        <v>782</v>
      </c>
    </row>
    <row r="37" spans="1:6" x14ac:dyDescent="0.25">
      <c r="A37" t="s">
        <v>745</v>
      </c>
      <c r="B37" t="s">
        <v>765</v>
      </c>
      <c r="C37" t="s">
        <v>766</v>
      </c>
      <c r="D37" t="s">
        <v>444</v>
      </c>
      <c r="E37" t="s">
        <v>767</v>
      </c>
      <c r="F37" t="s">
        <v>782</v>
      </c>
    </row>
    <row r="38" spans="1:6" x14ac:dyDescent="0.25">
      <c r="A38" t="s">
        <v>745</v>
      </c>
      <c r="B38" t="s">
        <v>765</v>
      </c>
      <c r="C38" t="s">
        <v>770</v>
      </c>
      <c r="D38" t="s">
        <v>55</v>
      </c>
      <c r="E38" t="s">
        <v>33</v>
      </c>
      <c r="F38" t="s">
        <v>57</v>
      </c>
    </row>
    <row r="39" spans="1:6" x14ac:dyDescent="0.25">
      <c r="A39" t="s">
        <v>745</v>
      </c>
      <c r="B39" t="s">
        <v>765</v>
      </c>
      <c r="C39" t="s">
        <v>770</v>
      </c>
      <c r="D39" t="s">
        <v>446</v>
      </c>
      <c r="E39" t="s">
        <v>33</v>
      </c>
      <c r="F39" t="s">
        <v>783</v>
      </c>
    </row>
    <row r="40" spans="1:6" x14ac:dyDescent="0.25">
      <c r="A40" t="s">
        <v>745</v>
      </c>
      <c r="B40" t="s">
        <v>765</v>
      </c>
      <c r="C40" t="s">
        <v>766</v>
      </c>
      <c r="D40" t="s">
        <v>446</v>
      </c>
      <c r="E40" t="s">
        <v>767</v>
      </c>
      <c r="F40" t="s">
        <v>783</v>
      </c>
    </row>
    <row r="41" spans="1:6" x14ac:dyDescent="0.25">
      <c r="A41" t="s">
        <v>745</v>
      </c>
      <c r="B41" t="s">
        <v>765</v>
      </c>
      <c r="C41" t="s">
        <v>770</v>
      </c>
      <c r="D41" t="s">
        <v>784</v>
      </c>
      <c r="E41" t="s">
        <v>33</v>
      </c>
      <c r="F41" t="s">
        <v>60</v>
      </c>
    </row>
    <row r="42" spans="1:6" x14ac:dyDescent="0.25">
      <c r="A42" t="s">
        <v>755</v>
      </c>
      <c r="B42" t="s">
        <v>765</v>
      </c>
      <c r="C42" t="s">
        <v>773</v>
      </c>
      <c r="D42" t="s">
        <v>48</v>
      </c>
      <c r="E42" t="s">
        <v>774</v>
      </c>
      <c r="F42" t="s">
        <v>60</v>
      </c>
    </row>
    <row r="43" spans="1:6" x14ac:dyDescent="0.25">
      <c r="A43" t="s">
        <v>755</v>
      </c>
      <c r="B43" t="s">
        <v>765</v>
      </c>
      <c r="C43" t="s">
        <v>769</v>
      </c>
      <c r="D43" t="s">
        <v>61</v>
      </c>
      <c r="E43" t="s">
        <v>62</v>
      </c>
      <c r="F43" t="s">
        <v>63</v>
      </c>
    </row>
    <row r="44" spans="1:6" x14ac:dyDescent="0.25">
      <c r="A44" t="s">
        <v>755</v>
      </c>
      <c r="B44" t="s">
        <v>765</v>
      </c>
      <c r="C44" t="s">
        <v>769</v>
      </c>
      <c r="D44" t="s">
        <v>449</v>
      </c>
      <c r="E44" t="s">
        <v>785</v>
      </c>
      <c r="F44" t="s">
        <v>786</v>
      </c>
    </row>
    <row r="45" spans="1:6" x14ac:dyDescent="0.25">
      <c r="A45" t="s">
        <v>745</v>
      </c>
      <c r="B45" t="s">
        <v>765</v>
      </c>
      <c r="C45" t="s">
        <v>766</v>
      </c>
      <c r="D45" t="s">
        <v>449</v>
      </c>
      <c r="E45" t="s">
        <v>767</v>
      </c>
      <c r="F45" t="s">
        <v>786</v>
      </c>
    </row>
    <row r="46" spans="1:6" x14ac:dyDescent="0.25">
      <c r="A46" t="s">
        <v>745</v>
      </c>
      <c r="B46" t="s">
        <v>765</v>
      </c>
      <c r="C46" t="s">
        <v>770</v>
      </c>
      <c r="D46" t="s">
        <v>451</v>
      </c>
      <c r="E46" t="s">
        <v>33</v>
      </c>
      <c r="F46" t="s">
        <v>787</v>
      </c>
    </row>
    <row r="47" spans="1:6" x14ac:dyDescent="0.25">
      <c r="A47" t="s">
        <v>745</v>
      </c>
      <c r="B47" t="s">
        <v>765</v>
      </c>
      <c r="C47" t="s">
        <v>766</v>
      </c>
      <c r="D47" t="s">
        <v>451</v>
      </c>
      <c r="E47" t="s">
        <v>767</v>
      </c>
      <c r="F47" t="s">
        <v>787</v>
      </c>
    </row>
    <row r="48" spans="1:6" x14ac:dyDescent="0.25">
      <c r="A48" t="s">
        <v>745</v>
      </c>
      <c r="B48" t="s">
        <v>765</v>
      </c>
      <c r="C48" t="s">
        <v>770</v>
      </c>
      <c r="D48" t="s">
        <v>453</v>
      </c>
      <c r="E48" t="s">
        <v>33</v>
      </c>
      <c r="F48" t="s">
        <v>788</v>
      </c>
    </row>
    <row r="49" spans="1:6" x14ac:dyDescent="0.25">
      <c r="A49" t="s">
        <v>745</v>
      </c>
      <c r="B49" t="s">
        <v>765</v>
      </c>
      <c r="C49" t="s">
        <v>766</v>
      </c>
      <c r="D49" t="s">
        <v>453</v>
      </c>
      <c r="E49" t="s">
        <v>767</v>
      </c>
      <c r="F49" t="s">
        <v>788</v>
      </c>
    </row>
    <row r="50" spans="1:6" x14ac:dyDescent="0.25">
      <c r="A50" t="s">
        <v>745</v>
      </c>
      <c r="B50" t="s">
        <v>765</v>
      </c>
      <c r="C50" t="s">
        <v>770</v>
      </c>
      <c r="D50" t="s">
        <v>455</v>
      </c>
      <c r="E50" t="s">
        <v>33</v>
      </c>
      <c r="F50" t="s">
        <v>789</v>
      </c>
    </row>
    <row r="51" spans="1:6" x14ac:dyDescent="0.25">
      <c r="A51" t="s">
        <v>745</v>
      </c>
      <c r="B51" t="s">
        <v>765</v>
      </c>
      <c r="C51" t="s">
        <v>766</v>
      </c>
      <c r="D51" t="s">
        <v>455</v>
      </c>
      <c r="E51" t="s">
        <v>767</v>
      </c>
      <c r="F51" t="s">
        <v>789</v>
      </c>
    </row>
    <row r="52" spans="1:6" x14ac:dyDescent="0.25">
      <c r="A52" t="s">
        <v>755</v>
      </c>
      <c r="B52" t="s">
        <v>765</v>
      </c>
      <c r="C52" t="s">
        <v>769</v>
      </c>
      <c r="D52" t="s">
        <v>66</v>
      </c>
      <c r="E52" t="s">
        <v>67</v>
      </c>
      <c r="F52" t="s">
        <v>68</v>
      </c>
    </row>
    <row r="53" spans="1:6" x14ac:dyDescent="0.25">
      <c r="A53" t="s">
        <v>755</v>
      </c>
      <c r="B53" t="s">
        <v>765</v>
      </c>
      <c r="C53" t="s">
        <v>769</v>
      </c>
      <c r="D53" t="s">
        <v>458</v>
      </c>
      <c r="E53" t="s">
        <v>790</v>
      </c>
      <c r="F53" t="s">
        <v>791</v>
      </c>
    </row>
    <row r="54" spans="1:6" x14ac:dyDescent="0.25">
      <c r="A54" t="s">
        <v>745</v>
      </c>
      <c r="B54" t="s">
        <v>765</v>
      </c>
      <c r="C54" t="s">
        <v>766</v>
      </c>
      <c r="D54" t="s">
        <v>458</v>
      </c>
      <c r="E54" t="s">
        <v>767</v>
      </c>
      <c r="F54" t="s">
        <v>791</v>
      </c>
    </row>
    <row r="55" spans="1:6" x14ac:dyDescent="0.25">
      <c r="A55" t="s">
        <v>755</v>
      </c>
      <c r="B55" t="s">
        <v>765</v>
      </c>
      <c r="C55" t="s">
        <v>769</v>
      </c>
      <c r="D55" t="s">
        <v>460</v>
      </c>
      <c r="E55" t="s">
        <v>792</v>
      </c>
      <c r="F55" t="s">
        <v>793</v>
      </c>
    </row>
    <row r="56" spans="1:6" x14ac:dyDescent="0.25">
      <c r="A56" t="s">
        <v>745</v>
      </c>
      <c r="B56" t="s">
        <v>765</v>
      </c>
      <c r="C56" t="s">
        <v>766</v>
      </c>
      <c r="D56" t="s">
        <v>460</v>
      </c>
      <c r="E56" t="s">
        <v>767</v>
      </c>
      <c r="F56" t="s">
        <v>793</v>
      </c>
    </row>
    <row r="57" spans="1:6" x14ac:dyDescent="0.25">
      <c r="A57" t="s">
        <v>755</v>
      </c>
      <c r="B57" t="s">
        <v>765</v>
      </c>
      <c r="C57" t="s">
        <v>769</v>
      </c>
      <c r="D57" t="s">
        <v>462</v>
      </c>
      <c r="E57" t="s">
        <v>794</v>
      </c>
      <c r="F57" t="s">
        <v>795</v>
      </c>
    </row>
    <row r="58" spans="1:6" x14ac:dyDescent="0.25">
      <c r="A58" t="s">
        <v>745</v>
      </c>
      <c r="B58" t="s">
        <v>765</v>
      </c>
      <c r="C58" t="s">
        <v>766</v>
      </c>
      <c r="D58" t="s">
        <v>462</v>
      </c>
      <c r="E58" t="s">
        <v>767</v>
      </c>
      <c r="F58" t="s">
        <v>795</v>
      </c>
    </row>
    <row r="59" spans="1:6" x14ac:dyDescent="0.25">
      <c r="A59" t="s">
        <v>745</v>
      </c>
      <c r="B59" t="s">
        <v>765</v>
      </c>
      <c r="C59" t="s">
        <v>770</v>
      </c>
      <c r="D59" t="s">
        <v>464</v>
      </c>
      <c r="E59" t="s">
        <v>33</v>
      </c>
      <c r="F59" t="s">
        <v>796</v>
      </c>
    </row>
    <row r="60" spans="1:6" x14ac:dyDescent="0.25">
      <c r="A60" t="s">
        <v>745</v>
      </c>
      <c r="B60" t="s">
        <v>765</v>
      </c>
      <c r="C60" t="s">
        <v>766</v>
      </c>
      <c r="D60" t="s">
        <v>464</v>
      </c>
      <c r="E60" t="s">
        <v>767</v>
      </c>
      <c r="F60" t="s">
        <v>796</v>
      </c>
    </row>
    <row r="61" spans="1:6" x14ac:dyDescent="0.25">
      <c r="A61" t="s">
        <v>745</v>
      </c>
      <c r="B61" t="s">
        <v>765</v>
      </c>
      <c r="C61" t="s">
        <v>770</v>
      </c>
      <c r="D61" t="s">
        <v>466</v>
      </c>
      <c r="E61" t="s">
        <v>33</v>
      </c>
      <c r="F61" t="s">
        <v>797</v>
      </c>
    </row>
    <row r="62" spans="1:6" x14ac:dyDescent="0.25">
      <c r="A62" t="s">
        <v>745</v>
      </c>
      <c r="B62" t="s">
        <v>765</v>
      </c>
      <c r="C62" t="s">
        <v>766</v>
      </c>
      <c r="D62" t="s">
        <v>466</v>
      </c>
      <c r="E62" t="s">
        <v>767</v>
      </c>
      <c r="F62" t="s">
        <v>797</v>
      </c>
    </row>
    <row r="63" spans="1:6" x14ac:dyDescent="0.25">
      <c r="A63" t="s">
        <v>745</v>
      </c>
      <c r="B63" t="s">
        <v>765</v>
      </c>
      <c r="C63" t="s">
        <v>770</v>
      </c>
      <c r="D63" t="s">
        <v>468</v>
      </c>
      <c r="E63" t="s">
        <v>33</v>
      </c>
      <c r="F63" t="s">
        <v>798</v>
      </c>
    </row>
    <row r="64" spans="1:6" x14ac:dyDescent="0.25">
      <c r="A64" t="s">
        <v>745</v>
      </c>
      <c r="B64" t="s">
        <v>765</v>
      </c>
      <c r="C64" t="s">
        <v>766</v>
      </c>
      <c r="D64" t="s">
        <v>468</v>
      </c>
      <c r="E64" t="s">
        <v>767</v>
      </c>
      <c r="F64" t="s">
        <v>798</v>
      </c>
    </row>
    <row r="65" spans="1:6" x14ac:dyDescent="0.25">
      <c r="A65" t="s">
        <v>745</v>
      </c>
      <c r="B65" t="s">
        <v>765</v>
      </c>
      <c r="C65" t="s">
        <v>770</v>
      </c>
      <c r="D65" t="s">
        <v>470</v>
      </c>
      <c r="E65" t="s">
        <v>33</v>
      </c>
      <c r="F65" t="s">
        <v>799</v>
      </c>
    </row>
    <row r="66" spans="1:6" x14ac:dyDescent="0.25">
      <c r="A66" t="s">
        <v>745</v>
      </c>
      <c r="B66" t="s">
        <v>765</v>
      </c>
      <c r="C66" t="s">
        <v>766</v>
      </c>
      <c r="D66" t="s">
        <v>470</v>
      </c>
      <c r="E66" t="s">
        <v>767</v>
      </c>
      <c r="F66" t="s">
        <v>799</v>
      </c>
    </row>
    <row r="67" spans="1:6" x14ac:dyDescent="0.25">
      <c r="A67" t="s">
        <v>745</v>
      </c>
      <c r="B67" t="s">
        <v>765</v>
      </c>
      <c r="C67" t="s">
        <v>770</v>
      </c>
      <c r="D67" t="s">
        <v>472</v>
      </c>
      <c r="E67" t="s">
        <v>33</v>
      </c>
      <c r="F67" t="s">
        <v>800</v>
      </c>
    </row>
    <row r="68" spans="1:6" x14ac:dyDescent="0.25">
      <c r="A68" t="s">
        <v>745</v>
      </c>
      <c r="B68" t="s">
        <v>765</v>
      </c>
      <c r="C68" t="s">
        <v>766</v>
      </c>
      <c r="D68" t="s">
        <v>472</v>
      </c>
      <c r="E68" t="s">
        <v>767</v>
      </c>
      <c r="F68" t="s">
        <v>800</v>
      </c>
    </row>
    <row r="69" spans="1:6" x14ac:dyDescent="0.25">
      <c r="A69" t="s">
        <v>745</v>
      </c>
      <c r="B69" t="s">
        <v>765</v>
      </c>
      <c r="C69" t="s">
        <v>770</v>
      </c>
      <c r="D69" t="s">
        <v>474</v>
      </c>
      <c r="E69" t="s">
        <v>33</v>
      </c>
      <c r="F69" t="s">
        <v>801</v>
      </c>
    </row>
    <row r="70" spans="1:6" x14ac:dyDescent="0.25">
      <c r="A70" t="s">
        <v>745</v>
      </c>
      <c r="B70" t="s">
        <v>765</v>
      </c>
      <c r="C70" t="s">
        <v>766</v>
      </c>
      <c r="D70" t="s">
        <v>474</v>
      </c>
      <c r="E70" t="s">
        <v>767</v>
      </c>
      <c r="F70" t="s">
        <v>801</v>
      </c>
    </row>
    <row r="71" spans="1:6" x14ac:dyDescent="0.25">
      <c r="A71" t="s">
        <v>745</v>
      </c>
      <c r="B71" t="s">
        <v>765</v>
      </c>
      <c r="C71" t="s">
        <v>770</v>
      </c>
      <c r="D71" t="s">
        <v>476</v>
      </c>
      <c r="E71" t="s">
        <v>33</v>
      </c>
      <c r="F71" t="s">
        <v>802</v>
      </c>
    </row>
    <row r="72" spans="1:6" x14ac:dyDescent="0.25">
      <c r="A72" t="s">
        <v>745</v>
      </c>
      <c r="B72" t="s">
        <v>765</v>
      </c>
      <c r="C72" t="s">
        <v>766</v>
      </c>
      <c r="D72" t="s">
        <v>476</v>
      </c>
      <c r="E72" t="s">
        <v>767</v>
      </c>
      <c r="F72" t="s">
        <v>802</v>
      </c>
    </row>
    <row r="73" spans="1:6" x14ac:dyDescent="0.25">
      <c r="A73" t="s">
        <v>745</v>
      </c>
      <c r="B73" t="s">
        <v>765</v>
      </c>
      <c r="C73" t="s">
        <v>770</v>
      </c>
      <c r="D73" t="s">
        <v>478</v>
      </c>
      <c r="E73" t="s">
        <v>33</v>
      </c>
      <c r="F73" t="s">
        <v>803</v>
      </c>
    </row>
    <row r="74" spans="1:6" x14ac:dyDescent="0.25">
      <c r="A74" t="s">
        <v>745</v>
      </c>
      <c r="B74" t="s">
        <v>765</v>
      </c>
      <c r="C74" t="s">
        <v>766</v>
      </c>
      <c r="D74" t="s">
        <v>478</v>
      </c>
      <c r="E74" t="s">
        <v>767</v>
      </c>
      <c r="F74" t="s">
        <v>803</v>
      </c>
    </row>
    <row r="75" spans="1:6" x14ac:dyDescent="0.25">
      <c r="A75" t="s">
        <v>745</v>
      </c>
      <c r="B75" t="s">
        <v>765</v>
      </c>
      <c r="C75" t="s">
        <v>770</v>
      </c>
      <c r="D75" t="s">
        <v>480</v>
      </c>
      <c r="E75" t="s">
        <v>33</v>
      </c>
      <c r="F75" t="s">
        <v>804</v>
      </c>
    </row>
    <row r="76" spans="1:6" x14ac:dyDescent="0.25">
      <c r="A76" t="s">
        <v>745</v>
      </c>
      <c r="B76" t="s">
        <v>765</v>
      </c>
      <c r="C76" t="s">
        <v>766</v>
      </c>
      <c r="D76" t="s">
        <v>480</v>
      </c>
      <c r="E76" t="s">
        <v>767</v>
      </c>
      <c r="F76" t="s">
        <v>804</v>
      </c>
    </row>
    <row r="77" spans="1:6" x14ac:dyDescent="0.25">
      <c r="A77" t="s">
        <v>745</v>
      </c>
      <c r="B77" t="s">
        <v>765</v>
      </c>
      <c r="C77" t="s">
        <v>770</v>
      </c>
      <c r="D77" t="s">
        <v>805</v>
      </c>
      <c r="E77" t="s">
        <v>33</v>
      </c>
      <c r="F77" t="s">
        <v>74</v>
      </c>
    </row>
    <row r="78" spans="1:6" x14ac:dyDescent="0.25">
      <c r="A78" t="s">
        <v>745</v>
      </c>
      <c r="B78" t="s">
        <v>765</v>
      </c>
      <c r="C78" t="s">
        <v>770</v>
      </c>
      <c r="D78" t="s">
        <v>806</v>
      </c>
      <c r="E78" t="s">
        <v>33</v>
      </c>
      <c r="F78" t="s">
        <v>76</v>
      </c>
    </row>
    <row r="79" spans="1:6" x14ac:dyDescent="0.25">
      <c r="A79" t="s">
        <v>745</v>
      </c>
      <c r="B79" t="s">
        <v>765</v>
      </c>
      <c r="C79" t="s">
        <v>770</v>
      </c>
      <c r="D79" t="s">
        <v>807</v>
      </c>
      <c r="E79" t="s">
        <v>33</v>
      </c>
      <c r="F79" t="s">
        <v>78</v>
      </c>
    </row>
    <row r="80" spans="1:6" x14ac:dyDescent="0.25">
      <c r="A80" t="s">
        <v>745</v>
      </c>
      <c r="B80" t="s">
        <v>765</v>
      </c>
      <c r="C80" t="s">
        <v>770</v>
      </c>
      <c r="D80" t="s">
        <v>79</v>
      </c>
      <c r="E80" t="s">
        <v>33</v>
      </c>
      <c r="F80" t="s">
        <v>81</v>
      </c>
    </row>
    <row r="81" spans="1:6" x14ac:dyDescent="0.25">
      <c r="A81" t="s">
        <v>745</v>
      </c>
      <c r="B81" t="s">
        <v>765</v>
      </c>
      <c r="C81" t="s">
        <v>770</v>
      </c>
      <c r="D81" t="s">
        <v>82</v>
      </c>
      <c r="E81" t="s">
        <v>33</v>
      </c>
      <c r="F81" t="s">
        <v>84</v>
      </c>
    </row>
    <row r="82" spans="1:6" x14ac:dyDescent="0.25">
      <c r="A82" t="s">
        <v>745</v>
      </c>
      <c r="B82" t="s">
        <v>765</v>
      </c>
      <c r="C82" t="s">
        <v>770</v>
      </c>
      <c r="D82" t="s">
        <v>85</v>
      </c>
      <c r="E82" t="s">
        <v>33</v>
      </c>
      <c r="F82" t="s">
        <v>87</v>
      </c>
    </row>
    <row r="83" spans="1:6" x14ac:dyDescent="0.25">
      <c r="A83" t="s">
        <v>745</v>
      </c>
      <c r="B83" t="s">
        <v>765</v>
      </c>
      <c r="C83" t="s">
        <v>770</v>
      </c>
      <c r="D83" t="s">
        <v>88</v>
      </c>
      <c r="E83" t="s">
        <v>33</v>
      </c>
      <c r="F83" t="s">
        <v>90</v>
      </c>
    </row>
    <row r="84" spans="1:6" x14ac:dyDescent="0.25">
      <c r="A84" t="s">
        <v>745</v>
      </c>
      <c r="B84" t="s">
        <v>765</v>
      </c>
      <c r="C84" t="s">
        <v>770</v>
      </c>
      <c r="D84" t="s">
        <v>91</v>
      </c>
      <c r="E84" t="s">
        <v>33</v>
      </c>
      <c r="F84" t="s">
        <v>93</v>
      </c>
    </row>
    <row r="85" spans="1:6" x14ac:dyDescent="0.25">
      <c r="A85" t="s">
        <v>745</v>
      </c>
      <c r="B85" t="s">
        <v>765</v>
      </c>
      <c r="C85" t="s">
        <v>770</v>
      </c>
      <c r="D85" t="s">
        <v>808</v>
      </c>
      <c r="E85" t="s">
        <v>33</v>
      </c>
      <c r="F85" t="s">
        <v>95</v>
      </c>
    </row>
    <row r="86" spans="1:6" x14ac:dyDescent="0.25">
      <c r="A86" t="s">
        <v>745</v>
      </c>
      <c r="B86" t="s">
        <v>765</v>
      </c>
      <c r="C86" t="s">
        <v>770</v>
      </c>
      <c r="D86" t="s">
        <v>96</v>
      </c>
      <c r="E86" t="s">
        <v>33</v>
      </c>
      <c r="F86" t="s">
        <v>98</v>
      </c>
    </row>
    <row r="87" spans="1:6" x14ac:dyDescent="0.25">
      <c r="A87" t="s">
        <v>745</v>
      </c>
      <c r="B87" t="s">
        <v>765</v>
      </c>
      <c r="C87" t="s">
        <v>770</v>
      </c>
      <c r="D87" t="s">
        <v>99</v>
      </c>
      <c r="E87" t="s">
        <v>33</v>
      </c>
      <c r="F87" t="s">
        <v>101</v>
      </c>
    </row>
    <row r="88" spans="1:6" x14ac:dyDescent="0.25">
      <c r="A88" t="s">
        <v>745</v>
      </c>
      <c r="B88" t="s">
        <v>765</v>
      </c>
      <c r="C88" t="s">
        <v>770</v>
      </c>
      <c r="D88" t="s">
        <v>102</v>
      </c>
      <c r="E88" t="s">
        <v>33</v>
      </c>
      <c r="F88" t="s">
        <v>104</v>
      </c>
    </row>
    <row r="89" spans="1:6" x14ac:dyDescent="0.25">
      <c r="A89" t="s">
        <v>745</v>
      </c>
      <c r="B89" t="s">
        <v>765</v>
      </c>
      <c r="C89" t="s">
        <v>770</v>
      </c>
      <c r="D89" t="s">
        <v>809</v>
      </c>
      <c r="E89" t="s">
        <v>33</v>
      </c>
      <c r="F89" t="s">
        <v>106</v>
      </c>
    </row>
    <row r="90" spans="1:6" x14ac:dyDescent="0.25">
      <c r="A90" t="s">
        <v>745</v>
      </c>
      <c r="B90" t="s">
        <v>765</v>
      </c>
      <c r="C90" t="s">
        <v>770</v>
      </c>
      <c r="D90" t="s">
        <v>107</v>
      </c>
      <c r="E90" t="s">
        <v>33</v>
      </c>
      <c r="F90" t="s">
        <v>109</v>
      </c>
    </row>
    <row r="91" spans="1:6" x14ac:dyDescent="0.25">
      <c r="A91" t="s">
        <v>745</v>
      </c>
      <c r="B91" t="s">
        <v>765</v>
      </c>
      <c r="C91" t="s">
        <v>770</v>
      </c>
      <c r="D91" t="s">
        <v>110</v>
      </c>
      <c r="E91" t="s">
        <v>33</v>
      </c>
      <c r="F91" t="s">
        <v>112</v>
      </c>
    </row>
    <row r="92" spans="1:6" x14ac:dyDescent="0.25">
      <c r="A92" t="s">
        <v>745</v>
      </c>
      <c r="B92" t="s">
        <v>765</v>
      </c>
      <c r="C92" t="s">
        <v>770</v>
      </c>
      <c r="D92" t="s">
        <v>810</v>
      </c>
      <c r="E92" t="s">
        <v>33</v>
      </c>
      <c r="F92" t="s">
        <v>114</v>
      </c>
    </row>
    <row r="93" spans="1:6" x14ac:dyDescent="0.25">
      <c r="A93" t="s">
        <v>745</v>
      </c>
      <c r="B93" t="s">
        <v>765</v>
      </c>
      <c r="C93" t="s">
        <v>770</v>
      </c>
      <c r="D93" t="s">
        <v>115</v>
      </c>
      <c r="E93" t="s">
        <v>33</v>
      </c>
      <c r="F93" t="s">
        <v>117</v>
      </c>
    </row>
    <row r="94" spans="1:6" x14ac:dyDescent="0.25">
      <c r="A94" t="s">
        <v>745</v>
      </c>
      <c r="B94" t="s">
        <v>765</v>
      </c>
      <c r="C94" t="s">
        <v>770</v>
      </c>
      <c r="D94" t="s">
        <v>118</v>
      </c>
      <c r="E94" t="s">
        <v>33</v>
      </c>
      <c r="F94" t="s">
        <v>120</v>
      </c>
    </row>
    <row r="95" spans="1:6" x14ac:dyDescent="0.25">
      <c r="A95" t="s">
        <v>745</v>
      </c>
      <c r="B95" t="s">
        <v>765</v>
      </c>
      <c r="C95" t="s">
        <v>770</v>
      </c>
      <c r="D95" t="s">
        <v>121</v>
      </c>
      <c r="E95" t="s">
        <v>33</v>
      </c>
      <c r="F95" t="s">
        <v>123</v>
      </c>
    </row>
    <row r="96" spans="1:6" x14ac:dyDescent="0.25">
      <c r="A96" t="s">
        <v>745</v>
      </c>
      <c r="B96" t="s">
        <v>765</v>
      </c>
      <c r="C96" t="s">
        <v>770</v>
      </c>
      <c r="D96" t="s">
        <v>124</v>
      </c>
      <c r="E96" t="s">
        <v>33</v>
      </c>
      <c r="F96" t="s">
        <v>126</v>
      </c>
    </row>
    <row r="97" spans="1:6" x14ac:dyDescent="0.25">
      <c r="A97" t="s">
        <v>745</v>
      </c>
      <c r="B97" t="s">
        <v>765</v>
      </c>
      <c r="C97" t="s">
        <v>770</v>
      </c>
      <c r="D97" t="s">
        <v>127</v>
      </c>
      <c r="E97" t="s">
        <v>33</v>
      </c>
      <c r="F97" t="s">
        <v>129</v>
      </c>
    </row>
    <row r="98" spans="1:6" x14ac:dyDescent="0.25">
      <c r="A98" t="s">
        <v>745</v>
      </c>
      <c r="B98" t="s">
        <v>765</v>
      </c>
      <c r="C98" t="s">
        <v>770</v>
      </c>
      <c r="D98" t="s">
        <v>130</v>
      </c>
      <c r="E98" t="s">
        <v>33</v>
      </c>
      <c r="F98" t="s">
        <v>132</v>
      </c>
    </row>
    <row r="99" spans="1:6" x14ac:dyDescent="0.25">
      <c r="A99" t="s">
        <v>745</v>
      </c>
      <c r="B99" t="s">
        <v>765</v>
      </c>
      <c r="C99" t="s">
        <v>770</v>
      </c>
      <c r="D99" t="s">
        <v>133</v>
      </c>
      <c r="E99" t="s">
        <v>33</v>
      </c>
      <c r="F99" t="s">
        <v>135</v>
      </c>
    </row>
    <row r="100" spans="1:6" x14ac:dyDescent="0.25">
      <c r="A100" t="s">
        <v>745</v>
      </c>
      <c r="B100" t="s">
        <v>765</v>
      </c>
      <c r="C100" t="s">
        <v>770</v>
      </c>
      <c r="D100" t="s">
        <v>136</v>
      </c>
      <c r="E100" t="s">
        <v>33</v>
      </c>
      <c r="F100" t="s">
        <v>138</v>
      </c>
    </row>
    <row r="101" spans="1:6" x14ac:dyDescent="0.25">
      <c r="A101" t="s">
        <v>745</v>
      </c>
      <c r="B101" t="s">
        <v>765</v>
      </c>
      <c r="C101" t="s">
        <v>770</v>
      </c>
      <c r="D101" t="s">
        <v>139</v>
      </c>
      <c r="E101" t="s">
        <v>33</v>
      </c>
      <c r="F101" t="s">
        <v>141</v>
      </c>
    </row>
    <row r="102" spans="1:6" x14ac:dyDescent="0.25">
      <c r="A102" t="s">
        <v>745</v>
      </c>
      <c r="B102" t="s">
        <v>765</v>
      </c>
      <c r="C102" t="s">
        <v>770</v>
      </c>
      <c r="D102" t="s">
        <v>142</v>
      </c>
      <c r="E102" t="s">
        <v>33</v>
      </c>
      <c r="F102" t="s">
        <v>144</v>
      </c>
    </row>
    <row r="103" spans="1:6" x14ac:dyDescent="0.25">
      <c r="A103" t="s">
        <v>745</v>
      </c>
      <c r="B103" t="s">
        <v>765</v>
      </c>
      <c r="C103" t="s">
        <v>770</v>
      </c>
      <c r="D103" t="s">
        <v>145</v>
      </c>
      <c r="E103" t="s">
        <v>33</v>
      </c>
      <c r="F103" t="s">
        <v>147</v>
      </c>
    </row>
    <row r="104" spans="1:6" x14ac:dyDescent="0.25">
      <c r="A104" t="s">
        <v>745</v>
      </c>
      <c r="B104" t="s">
        <v>765</v>
      </c>
      <c r="C104" t="s">
        <v>770</v>
      </c>
      <c r="D104" t="s">
        <v>482</v>
      </c>
      <c r="E104" t="s">
        <v>33</v>
      </c>
      <c r="F104" t="s">
        <v>811</v>
      </c>
    </row>
    <row r="105" spans="1:6" x14ac:dyDescent="0.25">
      <c r="A105" t="s">
        <v>745</v>
      </c>
      <c r="B105" t="s">
        <v>765</v>
      </c>
      <c r="C105" t="s">
        <v>766</v>
      </c>
      <c r="D105" t="s">
        <v>482</v>
      </c>
      <c r="E105" t="s">
        <v>767</v>
      </c>
      <c r="F105" t="s">
        <v>811</v>
      </c>
    </row>
    <row r="106" spans="1:6" x14ac:dyDescent="0.25">
      <c r="A106" t="s">
        <v>745</v>
      </c>
      <c r="B106" t="s">
        <v>765</v>
      </c>
      <c r="C106" t="s">
        <v>770</v>
      </c>
      <c r="D106" t="s">
        <v>148</v>
      </c>
      <c r="E106" t="s">
        <v>33</v>
      </c>
      <c r="F106" t="s">
        <v>150</v>
      </c>
    </row>
    <row r="107" spans="1:6" x14ac:dyDescent="0.25">
      <c r="A107" t="s">
        <v>745</v>
      </c>
      <c r="B107" t="s">
        <v>765</v>
      </c>
      <c r="C107" t="s">
        <v>770</v>
      </c>
      <c r="D107" t="s">
        <v>151</v>
      </c>
      <c r="E107" t="s">
        <v>33</v>
      </c>
      <c r="F107" t="s">
        <v>153</v>
      </c>
    </row>
    <row r="108" spans="1:6" x14ac:dyDescent="0.25">
      <c r="A108" t="s">
        <v>745</v>
      </c>
      <c r="B108" t="s">
        <v>765</v>
      </c>
      <c r="C108" t="s">
        <v>770</v>
      </c>
      <c r="D108" t="s">
        <v>154</v>
      </c>
      <c r="E108" t="s">
        <v>33</v>
      </c>
      <c r="F108" t="s">
        <v>156</v>
      </c>
    </row>
    <row r="109" spans="1:6" x14ac:dyDescent="0.25">
      <c r="A109" t="s">
        <v>745</v>
      </c>
      <c r="B109" t="s">
        <v>765</v>
      </c>
      <c r="C109" t="s">
        <v>770</v>
      </c>
      <c r="D109" t="s">
        <v>157</v>
      </c>
      <c r="E109" t="s">
        <v>33</v>
      </c>
      <c r="F109" t="s">
        <v>159</v>
      </c>
    </row>
    <row r="110" spans="1:6" x14ac:dyDescent="0.25">
      <c r="A110" t="s">
        <v>745</v>
      </c>
      <c r="B110" t="s">
        <v>765</v>
      </c>
      <c r="C110" t="s">
        <v>770</v>
      </c>
      <c r="D110" t="s">
        <v>160</v>
      </c>
      <c r="E110" t="s">
        <v>33</v>
      </c>
      <c r="F110" t="s">
        <v>162</v>
      </c>
    </row>
    <row r="111" spans="1:6" x14ac:dyDescent="0.25">
      <c r="A111" t="s">
        <v>745</v>
      </c>
      <c r="B111" t="s">
        <v>765</v>
      </c>
      <c r="C111" t="s">
        <v>770</v>
      </c>
      <c r="D111" t="s">
        <v>483</v>
      </c>
      <c r="E111" t="s">
        <v>33</v>
      </c>
      <c r="F111" t="s">
        <v>812</v>
      </c>
    </row>
    <row r="112" spans="1:6" x14ac:dyDescent="0.25">
      <c r="A112" t="s">
        <v>745</v>
      </c>
      <c r="B112" t="s">
        <v>765</v>
      </c>
      <c r="C112" t="s">
        <v>766</v>
      </c>
      <c r="D112" t="s">
        <v>483</v>
      </c>
      <c r="E112" t="s">
        <v>767</v>
      </c>
      <c r="F112" t="s">
        <v>812</v>
      </c>
    </row>
    <row r="113" spans="1:6" x14ac:dyDescent="0.25">
      <c r="A113" t="s">
        <v>745</v>
      </c>
      <c r="B113" t="s">
        <v>765</v>
      </c>
      <c r="C113" t="s">
        <v>770</v>
      </c>
      <c r="D113" t="s">
        <v>163</v>
      </c>
      <c r="E113" t="s">
        <v>33</v>
      </c>
      <c r="F113" t="s">
        <v>165</v>
      </c>
    </row>
    <row r="114" spans="1:6" x14ac:dyDescent="0.25">
      <c r="A114" t="s">
        <v>745</v>
      </c>
      <c r="B114" t="s">
        <v>765</v>
      </c>
      <c r="C114" t="s">
        <v>770</v>
      </c>
      <c r="D114" t="s">
        <v>166</v>
      </c>
      <c r="E114" t="s">
        <v>33</v>
      </c>
      <c r="F114" t="s">
        <v>168</v>
      </c>
    </row>
    <row r="115" spans="1:6" x14ac:dyDescent="0.25">
      <c r="A115" t="s">
        <v>745</v>
      </c>
      <c r="B115" t="s">
        <v>765</v>
      </c>
      <c r="C115" t="s">
        <v>770</v>
      </c>
      <c r="D115" t="s">
        <v>169</v>
      </c>
      <c r="E115" t="s">
        <v>33</v>
      </c>
      <c r="F115" t="s">
        <v>171</v>
      </c>
    </row>
    <row r="116" spans="1:6" x14ac:dyDescent="0.25">
      <c r="A116" t="s">
        <v>745</v>
      </c>
      <c r="B116" t="s">
        <v>765</v>
      </c>
      <c r="C116" t="s">
        <v>770</v>
      </c>
      <c r="D116" t="s">
        <v>813</v>
      </c>
      <c r="E116" t="s">
        <v>33</v>
      </c>
      <c r="F116" t="s">
        <v>173</v>
      </c>
    </row>
    <row r="117" spans="1:6" x14ac:dyDescent="0.25">
      <c r="A117" t="s">
        <v>745</v>
      </c>
      <c r="B117" t="s">
        <v>765</v>
      </c>
      <c r="C117" t="s">
        <v>770</v>
      </c>
      <c r="D117" t="s">
        <v>174</v>
      </c>
      <c r="E117" t="s">
        <v>33</v>
      </c>
      <c r="F117" t="s">
        <v>176</v>
      </c>
    </row>
    <row r="118" spans="1:6" x14ac:dyDescent="0.25">
      <c r="A118" t="s">
        <v>745</v>
      </c>
      <c r="B118" t="s">
        <v>765</v>
      </c>
      <c r="C118" t="s">
        <v>770</v>
      </c>
      <c r="D118" t="s">
        <v>177</v>
      </c>
      <c r="E118" t="s">
        <v>33</v>
      </c>
      <c r="F118" t="s">
        <v>179</v>
      </c>
    </row>
    <row r="119" spans="1:6" x14ac:dyDescent="0.25">
      <c r="A119" t="s">
        <v>745</v>
      </c>
      <c r="B119" t="s">
        <v>765</v>
      </c>
      <c r="C119" t="s">
        <v>770</v>
      </c>
      <c r="D119" t="s">
        <v>180</v>
      </c>
      <c r="E119" t="s">
        <v>33</v>
      </c>
      <c r="F119" t="s">
        <v>182</v>
      </c>
    </row>
    <row r="120" spans="1:6" x14ac:dyDescent="0.25">
      <c r="A120" t="s">
        <v>745</v>
      </c>
      <c r="B120" t="s">
        <v>765</v>
      </c>
      <c r="C120" t="s">
        <v>770</v>
      </c>
      <c r="D120" t="s">
        <v>485</v>
      </c>
      <c r="E120" t="s">
        <v>33</v>
      </c>
      <c r="F120" t="s">
        <v>814</v>
      </c>
    </row>
    <row r="121" spans="1:6" x14ac:dyDescent="0.25">
      <c r="A121" t="s">
        <v>745</v>
      </c>
      <c r="B121" t="s">
        <v>765</v>
      </c>
      <c r="C121" t="s">
        <v>766</v>
      </c>
      <c r="D121" t="s">
        <v>485</v>
      </c>
      <c r="E121" t="s">
        <v>767</v>
      </c>
      <c r="F121" t="s">
        <v>814</v>
      </c>
    </row>
    <row r="122" spans="1:6" x14ac:dyDescent="0.25">
      <c r="A122" t="s">
        <v>745</v>
      </c>
      <c r="B122" t="s">
        <v>765</v>
      </c>
      <c r="C122" t="s">
        <v>770</v>
      </c>
      <c r="D122" t="s">
        <v>487</v>
      </c>
      <c r="E122" t="s">
        <v>33</v>
      </c>
      <c r="F122" t="s">
        <v>815</v>
      </c>
    </row>
    <row r="123" spans="1:6" x14ac:dyDescent="0.25">
      <c r="A123" t="s">
        <v>745</v>
      </c>
      <c r="B123" t="s">
        <v>765</v>
      </c>
      <c r="C123" t="s">
        <v>766</v>
      </c>
      <c r="D123" t="s">
        <v>487</v>
      </c>
      <c r="E123" t="s">
        <v>767</v>
      </c>
      <c r="F123" t="s">
        <v>815</v>
      </c>
    </row>
    <row r="124" spans="1:6" x14ac:dyDescent="0.25">
      <c r="A124" t="s">
        <v>745</v>
      </c>
      <c r="B124" t="s">
        <v>765</v>
      </c>
      <c r="C124" t="s">
        <v>770</v>
      </c>
      <c r="D124" t="s">
        <v>183</v>
      </c>
      <c r="E124" t="s">
        <v>33</v>
      </c>
      <c r="F124" t="s">
        <v>185</v>
      </c>
    </row>
    <row r="125" spans="1:6" x14ac:dyDescent="0.25">
      <c r="A125" t="s">
        <v>745</v>
      </c>
      <c r="B125" t="s">
        <v>765</v>
      </c>
      <c r="C125" t="s">
        <v>770</v>
      </c>
      <c r="D125" t="s">
        <v>186</v>
      </c>
      <c r="E125" t="s">
        <v>33</v>
      </c>
      <c r="F125" t="s">
        <v>188</v>
      </c>
    </row>
    <row r="126" spans="1:6" x14ac:dyDescent="0.25">
      <c r="A126" t="s">
        <v>745</v>
      </c>
      <c r="B126" t="s">
        <v>765</v>
      </c>
      <c r="C126" t="s">
        <v>770</v>
      </c>
      <c r="D126" t="s">
        <v>816</v>
      </c>
      <c r="E126" t="s">
        <v>33</v>
      </c>
      <c r="F126" t="s">
        <v>190</v>
      </c>
    </row>
    <row r="127" spans="1:6" x14ac:dyDescent="0.25">
      <c r="A127" t="s">
        <v>745</v>
      </c>
      <c r="B127" t="s">
        <v>765</v>
      </c>
      <c r="C127" t="s">
        <v>770</v>
      </c>
      <c r="D127" t="s">
        <v>817</v>
      </c>
      <c r="E127" t="s">
        <v>33</v>
      </c>
      <c r="F127" t="s">
        <v>192</v>
      </c>
    </row>
    <row r="128" spans="1:6" x14ac:dyDescent="0.25">
      <c r="A128" t="s">
        <v>745</v>
      </c>
      <c r="B128" t="s">
        <v>765</v>
      </c>
      <c r="C128" t="s">
        <v>770</v>
      </c>
      <c r="D128" t="s">
        <v>818</v>
      </c>
      <c r="E128" t="s">
        <v>33</v>
      </c>
      <c r="F128" t="s">
        <v>194</v>
      </c>
    </row>
    <row r="129" spans="1:6" x14ac:dyDescent="0.25">
      <c r="A129" t="s">
        <v>745</v>
      </c>
      <c r="B129" t="s">
        <v>765</v>
      </c>
      <c r="C129" t="s">
        <v>770</v>
      </c>
      <c r="D129" t="s">
        <v>489</v>
      </c>
      <c r="E129" t="s">
        <v>33</v>
      </c>
      <c r="F129" t="s">
        <v>819</v>
      </c>
    </row>
    <row r="130" spans="1:6" x14ac:dyDescent="0.25">
      <c r="A130" t="s">
        <v>745</v>
      </c>
      <c r="B130" t="s">
        <v>765</v>
      </c>
      <c r="C130" t="s">
        <v>766</v>
      </c>
      <c r="D130" t="s">
        <v>489</v>
      </c>
      <c r="E130" t="s">
        <v>767</v>
      </c>
      <c r="F130" t="s">
        <v>819</v>
      </c>
    </row>
    <row r="131" spans="1:6" x14ac:dyDescent="0.25">
      <c r="A131" t="s">
        <v>745</v>
      </c>
      <c r="B131" t="s">
        <v>765</v>
      </c>
      <c r="C131" t="s">
        <v>770</v>
      </c>
      <c r="D131" t="s">
        <v>491</v>
      </c>
      <c r="E131" t="s">
        <v>33</v>
      </c>
      <c r="F131" t="s">
        <v>820</v>
      </c>
    </row>
    <row r="132" spans="1:6" x14ac:dyDescent="0.25">
      <c r="A132" t="s">
        <v>745</v>
      </c>
      <c r="B132" t="s">
        <v>765</v>
      </c>
      <c r="C132" t="s">
        <v>766</v>
      </c>
      <c r="D132" t="s">
        <v>491</v>
      </c>
      <c r="E132" t="s">
        <v>767</v>
      </c>
      <c r="F132" t="s">
        <v>820</v>
      </c>
    </row>
    <row r="133" spans="1:6" x14ac:dyDescent="0.25">
      <c r="A133" t="s">
        <v>745</v>
      </c>
      <c r="B133" t="s">
        <v>765</v>
      </c>
      <c r="C133" t="s">
        <v>770</v>
      </c>
      <c r="D133" t="s">
        <v>493</v>
      </c>
      <c r="E133" t="s">
        <v>33</v>
      </c>
      <c r="F133" t="s">
        <v>821</v>
      </c>
    </row>
    <row r="134" spans="1:6" x14ac:dyDescent="0.25">
      <c r="A134" t="s">
        <v>745</v>
      </c>
      <c r="B134" t="s">
        <v>765</v>
      </c>
      <c r="C134" t="s">
        <v>766</v>
      </c>
      <c r="D134" t="s">
        <v>493</v>
      </c>
      <c r="E134" t="s">
        <v>767</v>
      </c>
      <c r="F134" t="s">
        <v>821</v>
      </c>
    </row>
    <row r="135" spans="1:6" x14ac:dyDescent="0.25">
      <c r="A135" t="s">
        <v>745</v>
      </c>
      <c r="B135" t="s">
        <v>765</v>
      </c>
      <c r="C135" t="s">
        <v>770</v>
      </c>
      <c r="D135" t="s">
        <v>495</v>
      </c>
      <c r="E135" t="s">
        <v>33</v>
      </c>
      <c r="F135" t="s">
        <v>822</v>
      </c>
    </row>
    <row r="136" spans="1:6" x14ac:dyDescent="0.25">
      <c r="A136" t="s">
        <v>745</v>
      </c>
      <c r="B136" t="s">
        <v>765</v>
      </c>
      <c r="C136" t="s">
        <v>766</v>
      </c>
      <c r="D136" t="s">
        <v>495</v>
      </c>
      <c r="E136" t="s">
        <v>767</v>
      </c>
      <c r="F136" t="s">
        <v>822</v>
      </c>
    </row>
    <row r="137" spans="1:6" x14ac:dyDescent="0.25">
      <c r="A137" t="s">
        <v>745</v>
      </c>
      <c r="B137" t="s">
        <v>765</v>
      </c>
      <c r="C137" t="s">
        <v>770</v>
      </c>
      <c r="D137" t="s">
        <v>497</v>
      </c>
      <c r="E137" t="s">
        <v>33</v>
      </c>
      <c r="F137" t="s">
        <v>823</v>
      </c>
    </row>
    <row r="138" spans="1:6" x14ac:dyDescent="0.25">
      <c r="A138" t="s">
        <v>745</v>
      </c>
      <c r="B138" t="s">
        <v>765</v>
      </c>
      <c r="C138" t="s">
        <v>766</v>
      </c>
      <c r="D138" t="s">
        <v>497</v>
      </c>
      <c r="E138" t="s">
        <v>767</v>
      </c>
      <c r="F138" t="s">
        <v>823</v>
      </c>
    </row>
    <row r="139" spans="1:6" x14ac:dyDescent="0.25">
      <c r="A139" t="s">
        <v>745</v>
      </c>
      <c r="B139" t="s">
        <v>765</v>
      </c>
      <c r="C139" t="s">
        <v>770</v>
      </c>
      <c r="D139" t="s">
        <v>499</v>
      </c>
      <c r="E139" t="s">
        <v>33</v>
      </c>
      <c r="F139" t="s">
        <v>824</v>
      </c>
    </row>
    <row r="140" spans="1:6" x14ac:dyDescent="0.25">
      <c r="A140" t="s">
        <v>745</v>
      </c>
      <c r="B140" t="s">
        <v>765</v>
      </c>
      <c r="C140" t="s">
        <v>766</v>
      </c>
      <c r="D140" t="s">
        <v>499</v>
      </c>
      <c r="E140" t="s">
        <v>767</v>
      </c>
      <c r="F140" t="s">
        <v>824</v>
      </c>
    </row>
    <row r="141" spans="1:6" x14ac:dyDescent="0.25">
      <c r="A141" t="s">
        <v>745</v>
      </c>
      <c r="B141" t="s">
        <v>765</v>
      </c>
      <c r="C141" t="s">
        <v>770</v>
      </c>
      <c r="D141" t="s">
        <v>825</v>
      </c>
      <c r="E141" t="s">
        <v>33</v>
      </c>
      <c r="F141" t="s">
        <v>196</v>
      </c>
    </row>
    <row r="142" spans="1:6" x14ac:dyDescent="0.25">
      <c r="A142" t="s">
        <v>745</v>
      </c>
      <c r="B142" t="s">
        <v>765</v>
      </c>
      <c r="C142" t="s">
        <v>770</v>
      </c>
      <c r="D142" t="s">
        <v>826</v>
      </c>
      <c r="E142" t="s">
        <v>33</v>
      </c>
      <c r="F142" t="s">
        <v>198</v>
      </c>
    </row>
    <row r="143" spans="1:6" x14ac:dyDescent="0.25">
      <c r="A143" t="s">
        <v>745</v>
      </c>
      <c r="B143" t="s">
        <v>765</v>
      </c>
      <c r="C143" t="s">
        <v>770</v>
      </c>
      <c r="D143" t="s">
        <v>199</v>
      </c>
      <c r="E143" t="s">
        <v>33</v>
      </c>
      <c r="F143" t="s">
        <v>201</v>
      </c>
    </row>
    <row r="144" spans="1:6" x14ac:dyDescent="0.25">
      <c r="A144" t="s">
        <v>745</v>
      </c>
      <c r="B144" t="s">
        <v>765</v>
      </c>
      <c r="C144" t="s">
        <v>770</v>
      </c>
      <c r="D144" t="s">
        <v>202</v>
      </c>
      <c r="E144" t="s">
        <v>33</v>
      </c>
      <c r="F144" t="s">
        <v>204</v>
      </c>
    </row>
    <row r="145" spans="1:6" x14ac:dyDescent="0.25">
      <c r="A145" t="s">
        <v>745</v>
      </c>
      <c r="B145" t="s">
        <v>765</v>
      </c>
      <c r="C145" t="s">
        <v>770</v>
      </c>
      <c r="D145" t="s">
        <v>205</v>
      </c>
      <c r="E145" t="s">
        <v>33</v>
      </c>
      <c r="F145" t="s">
        <v>207</v>
      </c>
    </row>
    <row r="146" spans="1:6" x14ac:dyDescent="0.25">
      <c r="A146" t="s">
        <v>745</v>
      </c>
      <c r="B146" t="s">
        <v>765</v>
      </c>
      <c r="C146" t="s">
        <v>770</v>
      </c>
      <c r="D146" t="s">
        <v>208</v>
      </c>
      <c r="E146" t="s">
        <v>33</v>
      </c>
      <c r="F146" t="s">
        <v>210</v>
      </c>
    </row>
    <row r="147" spans="1:6" x14ac:dyDescent="0.25">
      <c r="A147" t="s">
        <v>745</v>
      </c>
      <c r="B147" t="s">
        <v>765</v>
      </c>
      <c r="C147" t="s">
        <v>770</v>
      </c>
      <c r="D147" t="s">
        <v>211</v>
      </c>
      <c r="E147" t="s">
        <v>33</v>
      </c>
      <c r="F147" t="s">
        <v>213</v>
      </c>
    </row>
    <row r="148" spans="1:6" x14ac:dyDescent="0.25">
      <c r="A148" t="s">
        <v>745</v>
      </c>
      <c r="B148" t="s">
        <v>765</v>
      </c>
      <c r="C148" t="s">
        <v>770</v>
      </c>
      <c r="D148" t="s">
        <v>214</v>
      </c>
      <c r="E148" t="s">
        <v>33</v>
      </c>
      <c r="F148" t="s">
        <v>216</v>
      </c>
    </row>
    <row r="149" spans="1:6" x14ac:dyDescent="0.25">
      <c r="A149" t="s">
        <v>745</v>
      </c>
      <c r="B149" t="s">
        <v>765</v>
      </c>
      <c r="C149" t="s">
        <v>770</v>
      </c>
      <c r="D149" t="s">
        <v>827</v>
      </c>
      <c r="E149" t="s">
        <v>33</v>
      </c>
      <c r="F149" t="s">
        <v>218</v>
      </c>
    </row>
    <row r="150" spans="1:6" x14ac:dyDescent="0.25">
      <c r="A150" t="s">
        <v>745</v>
      </c>
      <c r="B150" t="s">
        <v>765</v>
      </c>
      <c r="C150" t="s">
        <v>770</v>
      </c>
      <c r="D150" t="s">
        <v>219</v>
      </c>
      <c r="E150" t="s">
        <v>33</v>
      </c>
      <c r="F150" t="s">
        <v>221</v>
      </c>
    </row>
    <row r="151" spans="1:6" x14ac:dyDescent="0.25">
      <c r="A151" t="s">
        <v>745</v>
      </c>
      <c r="B151" t="s">
        <v>765</v>
      </c>
      <c r="C151" t="s">
        <v>770</v>
      </c>
      <c r="D151" t="s">
        <v>222</v>
      </c>
      <c r="E151" t="s">
        <v>33</v>
      </c>
      <c r="F151" t="s">
        <v>224</v>
      </c>
    </row>
    <row r="152" spans="1:6" x14ac:dyDescent="0.25">
      <c r="A152" t="s">
        <v>745</v>
      </c>
      <c r="B152" t="s">
        <v>765</v>
      </c>
      <c r="C152" t="s">
        <v>770</v>
      </c>
      <c r="D152" t="s">
        <v>225</v>
      </c>
      <c r="E152" t="s">
        <v>33</v>
      </c>
      <c r="F152" t="s">
        <v>227</v>
      </c>
    </row>
    <row r="153" spans="1:6" x14ac:dyDescent="0.25">
      <c r="A153" t="s">
        <v>745</v>
      </c>
      <c r="B153" t="s">
        <v>765</v>
      </c>
      <c r="C153" t="s">
        <v>770</v>
      </c>
      <c r="D153" t="s">
        <v>228</v>
      </c>
      <c r="E153" t="s">
        <v>33</v>
      </c>
      <c r="F153" t="s">
        <v>230</v>
      </c>
    </row>
    <row r="154" spans="1:6" x14ac:dyDescent="0.25">
      <c r="A154" t="s">
        <v>745</v>
      </c>
      <c r="B154" t="s">
        <v>765</v>
      </c>
      <c r="C154" t="s">
        <v>770</v>
      </c>
      <c r="D154" t="s">
        <v>231</v>
      </c>
      <c r="E154" t="s">
        <v>33</v>
      </c>
      <c r="F154" t="s">
        <v>233</v>
      </c>
    </row>
    <row r="155" spans="1:6" x14ac:dyDescent="0.25">
      <c r="A155" t="s">
        <v>745</v>
      </c>
      <c r="B155" t="s">
        <v>765</v>
      </c>
      <c r="C155" t="s">
        <v>770</v>
      </c>
      <c r="D155" t="s">
        <v>234</v>
      </c>
      <c r="E155" t="s">
        <v>33</v>
      </c>
      <c r="F155" t="s">
        <v>236</v>
      </c>
    </row>
    <row r="156" spans="1:6" x14ac:dyDescent="0.25">
      <c r="A156" t="s">
        <v>745</v>
      </c>
      <c r="B156" t="s">
        <v>765</v>
      </c>
      <c r="C156" t="s">
        <v>770</v>
      </c>
      <c r="D156" t="s">
        <v>237</v>
      </c>
      <c r="E156" t="s">
        <v>33</v>
      </c>
      <c r="F156" t="s">
        <v>239</v>
      </c>
    </row>
    <row r="157" spans="1:6" x14ac:dyDescent="0.25">
      <c r="A157" t="s">
        <v>745</v>
      </c>
      <c r="B157" t="s">
        <v>765</v>
      </c>
      <c r="C157" t="s">
        <v>770</v>
      </c>
      <c r="D157" t="s">
        <v>240</v>
      </c>
      <c r="E157" t="s">
        <v>33</v>
      </c>
      <c r="F157" t="s">
        <v>242</v>
      </c>
    </row>
    <row r="158" spans="1:6" x14ac:dyDescent="0.25">
      <c r="A158" t="s">
        <v>745</v>
      </c>
      <c r="B158" t="s">
        <v>765</v>
      </c>
      <c r="C158" t="s">
        <v>770</v>
      </c>
      <c r="D158" t="s">
        <v>501</v>
      </c>
      <c r="E158" t="s">
        <v>33</v>
      </c>
      <c r="F158" t="s">
        <v>828</v>
      </c>
    </row>
    <row r="159" spans="1:6" x14ac:dyDescent="0.25">
      <c r="A159" t="s">
        <v>745</v>
      </c>
      <c r="B159" t="s">
        <v>765</v>
      </c>
      <c r="C159" t="s">
        <v>766</v>
      </c>
      <c r="D159" t="s">
        <v>501</v>
      </c>
      <c r="E159" t="s">
        <v>767</v>
      </c>
      <c r="F159" t="s">
        <v>828</v>
      </c>
    </row>
    <row r="160" spans="1:6" x14ac:dyDescent="0.25">
      <c r="A160" t="s">
        <v>745</v>
      </c>
      <c r="B160" t="s">
        <v>765</v>
      </c>
      <c r="C160" t="s">
        <v>770</v>
      </c>
      <c r="D160" t="s">
        <v>503</v>
      </c>
      <c r="E160" t="s">
        <v>33</v>
      </c>
      <c r="F160" t="s">
        <v>829</v>
      </c>
    </row>
    <row r="161" spans="1:6" x14ac:dyDescent="0.25">
      <c r="A161" t="s">
        <v>745</v>
      </c>
      <c r="B161" t="s">
        <v>765</v>
      </c>
      <c r="C161" t="s">
        <v>766</v>
      </c>
      <c r="D161" t="s">
        <v>503</v>
      </c>
      <c r="E161" t="s">
        <v>767</v>
      </c>
      <c r="F161" t="s">
        <v>829</v>
      </c>
    </row>
    <row r="162" spans="1:6" x14ac:dyDescent="0.25">
      <c r="A162" t="s">
        <v>745</v>
      </c>
      <c r="B162" t="s">
        <v>765</v>
      </c>
      <c r="C162" t="s">
        <v>770</v>
      </c>
      <c r="D162" t="s">
        <v>830</v>
      </c>
      <c r="E162" t="s">
        <v>33</v>
      </c>
      <c r="F162" t="s">
        <v>244</v>
      </c>
    </row>
    <row r="163" spans="1:6" x14ac:dyDescent="0.25">
      <c r="A163" t="s">
        <v>745</v>
      </c>
      <c r="B163" t="s">
        <v>765</v>
      </c>
      <c r="C163" t="s">
        <v>770</v>
      </c>
      <c r="D163" t="s">
        <v>245</v>
      </c>
      <c r="E163" t="s">
        <v>33</v>
      </c>
      <c r="F163" t="s">
        <v>247</v>
      </c>
    </row>
    <row r="164" spans="1:6" x14ac:dyDescent="0.25">
      <c r="A164" t="s">
        <v>745</v>
      </c>
      <c r="B164" t="s">
        <v>765</v>
      </c>
      <c r="C164" t="s">
        <v>770</v>
      </c>
      <c r="D164" t="s">
        <v>831</v>
      </c>
      <c r="E164" t="s">
        <v>33</v>
      </c>
      <c r="F164" t="s">
        <v>249</v>
      </c>
    </row>
    <row r="165" spans="1:6" x14ac:dyDescent="0.25">
      <c r="A165" t="s">
        <v>745</v>
      </c>
      <c r="B165" t="s">
        <v>765</v>
      </c>
      <c r="C165" t="s">
        <v>770</v>
      </c>
      <c r="D165" t="s">
        <v>250</v>
      </c>
      <c r="E165" t="s">
        <v>33</v>
      </c>
      <c r="F165" t="s">
        <v>252</v>
      </c>
    </row>
    <row r="166" spans="1:6" x14ac:dyDescent="0.25">
      <c r="A166" t="s">
        <v>745</v>
      </c>
      <c r="B166" t="s">
        <v>765</v>
      </c>
      <c r="C166" t="s">
        <v>770</v>
      </c>
      <c r="D166" t="s">
        <v>832</v>
      </c>
      <c r="E166" t="s">
        <v>33</v>
      </c>
      <c r="F166" t="s">
        <v>254</v>
      </c>
    </row>
    <row r="167" spans="1:6" x14ac:dyDescent="0.25">
      <c r="A167" t="s">
        <v>745</v>
      </c>
      <c r="B167" t="s">
        <v>765</v>
      </c>
      <c r="C167" t="s">
        <v>770</v>
      </c>
      <c r="D167" t="s">
        <v>505</v>
      </c>
      <c r="E167" t="s">
        <v>33</v>
      </c>
      <c r="F167" t="s">
        <v>833</v>
      </c>
    </row>
    <row r="168" spans="1:6" x14ac:dyDescent="0.25">
      <c r="A168" t="s">
        <v>745</v>
      </c>
      <c r="B168" t="s">
        <v>765</v>
      </c>
      <c r="C168" t="s">
        <v>766</v>
      </c>
      <c r="D168" t="s">
        <v>505</v>
      </c>
      <c r="E168" t="s">
        <v>767</v>
      </c>
      <c r="F168" t="s">
        <v>833</v>
      </c>
    </row>
    <row r="169" spans="1:6" x14ac:dyDescent="0.25">
      <c r="A169" t="s">
        <v>745</v>
      </c>
      <c r="B169" t="s">
        <v>765</v>
      </c>
      <c r="C169" t="s">
        <v>770</v>
      </c>
      <c r="D169" t="s">
        <v>507</v>
      </c>
      <c r="E169" t="s">
        <v>33</v>
      </c>
      <c r="F169" t="s">
        <v>834</v>
      </c>
    </row>
    <row r="170" spans="1:6" x14ac:dyDescent="0.25">
      <c r="A170" t="s">
        <v>745</v>
      </c>
      <c r="B170" t="s">
        <v>765</v>
      </c>
      <c r="C170" t="s">
        <v>766</v>
      </c>
      <c r="D170" t="s">
        <v>507</v>
      </c>
      <c r="E170" t="s">
        <v>767</v>
      </c>
      <c r="F170" t="s">
        <v>834</v>
      </c>
    </row>
    <row r="171" spans="1:6" x14ac:dyDescent="0.25">
      <c r="A171" t="s">
        <v>745</v>
      </c>
      <c r="B171" t="s">
        <v>765</v>
      </c>
      <c r="C171" t="s">
        <v>770</v>
      </c>
      <c r="D171" t="s">
        <v>509</v>
      </c>
      <c r="E171" t="s">
        <v>33</v>
      </c>
      <c r="F171" t="s">
        <v>835</v>
      </c>
    </row>
    <row r="172" spans="1:6" x14ac:dyDescent="0.25">
      <c r="A172" t="s">
        <v>745</v>
      </c>
      <c r="B172" t="s">
        <v>765</v>
      </c>
      <c r="C172" t="s">
        <v>766</v>
      </c>
      <c r="D172" t="s">
        <v>509</v>
      </c>
      <c r="E172" t="s">
        <v>767</v>
      </c>
      <c r="F172" t="s">
        <v>835</v>
      </c>
    </row>
    <row r="173" spans="1:6" x14ac:dyDescent="0.25">
      <c r="A173" t="s">
        <v>745</v>
      </c>
      <c r="B173" t="s">
        <v>765</v>
      </c>
      <c r="C173" t="s">
        <v>770</v>
      </c>
      <c r="D173" t="s">
        <v>836</v>
      </c>
      <c r="E173" t="s">
        <v>33</v>
      </c>
      <c r="F173" t="s">
        <v>256</v>
      </c>
    </row>
    <row r="174" spans="1:6" x14ac:dyDescent="0.25">
      <c r="A174" t="s">
        <v>745</v>
      </c>
      <c r="B174" t="s">
        <v>765</v>
      </c>
      <c r="C174" t="s">
        <v>770</v>
      </c>
      <c r="D174" t="s">
        <v>257</v>
      </c>
      <c r="E174" t="s">
        <v>33</v>
      </c>
      <c r="F174" t="s">
        <v>259</v>
      </c>
    </row>
    <row r="175" spans="1:6" x14ac:dyDescent="0.25">
      <c r="A175" t="s">
        <v>745</v>
      </c>
      <c r="B175" t="s">
        <v>765</v>
      </c>
      <c r="C175" t="s">
        <v>770</v>
      </c>
      <c r="D175" t="s">
        <v>260</v>
      </c>
      <c r="E175" t="s">
        <v>33</v>
      </c>
      <c r="F175" t="s">
        <v>262</v>
      </c>
    </row>
    <row r="176" spans="1:6" x14ac:dyDescent="0.25">
      <c r="A176" t="s">
        <v>745</v>
      </c>
      <c r="B176" t="s">
        <v>765</v>
      </c>
      <c r="C176" t="s">
        <v>770</v>
      </c>
      <c r="D176" t="s">
        <v>263</v>
      </c>
      <c r="E176" t="s">
        <v>33</v>
      </c>
      <c r="F176" t="s">
        <v>265</v>
      </c>
    </row>
    <row r="177" spans="1:6" x14ac:dyDescent="0.25">
      <c r="A177" t="s">
        <v>745</v>
      </c>
      <c r="B177" t="s">
        <v>765</v>
      </c>
      <c r="C177" t="s">
        <v>770</v>
      </c>
      <c r="D177" t="s">
        <v>266</v>
      </c>
      <c r="E177" t="s">
        <v>33</v>
      </c>
      <c r="F177" t="s">
        <v>268</v>
      </c>
    </row>
    <row r="178" spans="1:6" x14ac:dyDescent="0.25">
      <c r="A178" t="s">
        <v>745</v>
      </c>
      <c r="B178" t="s">
        <v>765</v>
      </c>
      <c r="C178" t="s">
        <v>770</v>
      </c>
      <c r="D178" t="s">
        <v>269</v>
      </c>
      <c r="E178" t="s">
        <v>33</v>
      </c>
      <c r="F178" t="s">
        <v>271</v>
      </c>
    </row>
    <row r="179" spans="1:6" x14ac:dyDescent="0.25">
      <c r="A179" t="s">
        <v>745</v>
      </c>
      <c r="B179" t="s">
        <v>765</v>
      </c>
      <c r="C179" t="s">
        <v>770</v>
      </c>
      <c r="D179" t="s">
        <v>272</v>
      </c>
      <c r="E179" t="s">
        <v>33</v>
      </c>
      <c r="F179" t="s">
        <v>274</v>
      </c>
    </row>
    <row r="180" spans="1:6" x14ac:dyDescent="0.25">
      <c r="A180" t="s">
        <v>745</v>
      </c>
      <c r="B180" t="s">
        <v>765</v>
      </c>
      <c r="C180" t="s">
        <v>770</v>
      </c>
      <c r="D180" t="s">
        <v>275</v>
      </c>
      <c r="E180" t="s">
        <v>33</v>
      </c>
      <c r="F180" t="s">
        <v>277</v>
      </c>
    </row>
    <row r="181" spans="1:6" x14ac:dyDescent="0.25">
      <c r="A181" t="s">
        <v>745</v>
      </c>
      <c r="B181" t="s">
        <v>765</v>
      </c>
      <c r="C181" t="s">
        <v>770</v>
      </c>
      <c r="D181" t="s">
        <v>511</v>
      </c>
      <c r="E181" t="s">
        <v>33</v>
      </c>
      <c r="F181" t="s">
        <v>837</v>
      </c>
    </row>
    <row r="182" spans="1:6" x14ac:dyDescent="0.25">
      <c r="A182" t="s">
        <v>745</v>
      </c>
      <c r="B182" t="s">
        <v>765</v>
      </c>
      <c r="C182" t="s">
        <v>766</v>
      </c>
      <c r="D182" t="s">
        <v>511</v>
      </c>
      <c r="E182" t="s">
        <v>767</v>
      </c>
      <c r="F182" t="s">
        <v>837</v>
      </c>
    </row>
    <row r="183" spans="1:6" x14ac:dyDescent="0.25">
      <c r="A183" t="s">
        <v>745</v>
      </c>
      <c r="B183" t="s">
        <v>765</v>
      </c>
      <c r="C183" t="s">
        <v>770</v>
      </c>
      <c r="D183" t="s">
        <v>838</v>
      </c>
      <c r="E183" t="s">
        <v>33</v>
      </c>
      <c r="F183" t="s">
        <v>279</v>
      </c>
    </row>
    <row r="184" spans="1:6" x14ac:dyDescent="0.25">
      <c r="A184" t="s">
        <v>745</v>
      </c>
      <c r="B184" t="s">
        <v>765</v>
      </c>
      <c r="C184" t="s">
        <v>770</v>
      </c>
      <c r="D184" t="s">
        <v>280</v>
      </c>
      <c r="E184" t="s">
        <v>33</v>
      </c>
      <c r="F184" t="s">
        <v>282</v>
      </c>
    </row>
    <row r="185" spans="1:6" x14ac:dyDescent="0.25">
      <c r="A185" t="s">
        <v>745</v>
      </c>
      <c r="B185" t="s">
        <v>765</v>
      </c>
      <c r="C185" t="s">
        <v>770</v>
      </c>
      <c r="D185" t="s">
        <v>283</v>
      </c>
      <c r="E185" t="s">
        <v>33</v>
      </c>
      <c r="F185" t="s">
        <v>285</v>
      </c>
    </row>
    <row r="186" spans="1:6" x14ac:dyDescent="0.25">
      <c r="A186" t="s">
        <v>745</v>
      </c>
      <c r="B186" t="s">
        <v>765</v>
      </c>
      <c r="C186" t="s">
        <v>770</v>
      </c>
      <c r="D186" t="s">
        <v>286</v>
      </c>
      <c r="E186" t="s">
        <v>33</v>
      </c>
      <c r="F186" t="s">
        <v>288</v>
      </c>
    </row>
    <row r="187" spans="1:6" x14ac:dyDescent="0.25">
      <c r="A187" t="s">
        <v>745</v>
      </c>
      <c r="B187" t="s">
        <v>765</v>
      </c>
      <c r="C187" t="s">
        <v>770</v>
      </c>
      <c r="D187" t="s">
        <v>816</v>
      </c>
      <c r="E187" t="s">
        <v>33</v>
      </c>
      <c r="F187" t="s">
        <v>289</v>
      </c>
    </row>
    <row r="188" spans="1:6" x14ac:dyDescent="0.25">
      <c r="A188" t="s">
        <v>755</v>
      </c>
      <c r="B188" t="s">
        <v>765</v>
      </c>
      <c r="C188" t="s">
        <v>773</v>
      </c>
      <c r="D188" t="s">
        <v>189</v>
      </c>
      <c r="E188" t="s">
        <v>774</v>
      </c>
      <c r="F188" t="s">
        <v>289</v>
      </c>
    </row>
    <row r="189" spans="1:6" x14ac:dyDescent="0.25">
      <c r="A189" t="s">
        <v>745</v>
      </c>
      <c r="B189" t="s">
        <v>765</v>
      </c>
      <c r="C189" t="s">
        <v>770</v>
      </c>
      <c r="D189" t="s">
        <v>513</v>
      </c>
      <c r="E189" t="s">
        <v>33</v>
      </c>
      <c r="F189" t="s">
        <v>839</v>
      </c>
    </row>
    <row r="190" spans="1:6" x14ac:dyDescent="0.25">
      <c r="A190" t="s">
        <v>745</v>
      </c>
      <c r="B190" t="s">
        <v>765</v>
      </c>
      <c r="C190" t="s">
        <v>766</v>
      </c>
      <c r="D190" t="s">
        <v>513</v>
      </c>
      <c r="E190" t="s">
        <v>767</v>
      </c>
      <c r="F190" t="s">
        <v>839</v>
      </c>
    </row>
    <row r="191" spans="1:6" x14ac:dyDescent="0.25">
      <c r="A191" t="s">
        <v>745</v>
      </c>
      <c r="B191" t="s">
        <v>765</v>
      </c>
      <c r="C191" t="s">
        <v>770</v>
      </c>
      <c r="D191" t="s">
        <v>514</v>
      </c>
      <c r="E191" t="s">
        <v>33</v>
      </c>
      <c r="F191" t="s">
        <v>840</v>
      </c>
    </row>
    <row r="192" spans="1:6" x14ac:dyDescent="0.25">
      <c r="A192" t="s">
        <v>745</v>
      </c>
      <c r="B192" t="s">
        <v>765</v>
      </c>
      <c r="C192" t="s">
        <v>766</v>
      </c>
      <c r="D192" t="s">
        <v>514</v>
      </c>
      <c r="E192" t="s">
        <v>767</v>
      </c>
      <c r="F192" t="s">
        <v>840</v>
      </c>
    </row>
    <row r="193" spans="1:6" x14ac:dyDescent="0.25">
      <c r="A193" t="s">
        <v>745</v>
      </c>
      <c r="B193" t="s">
        <v>765</v>
      </c>
      <c r="C193" t="s">
        <v>770</v>
      </c>
      <c r="D193" t="s">
        <v>841</v>
      </c>
      <c r="E193" t="s">
        <v>33</v>
      </c>
      <c r="F193" t="s">
        <v>291</v>
      </c>
    </row>
    <row r="194" spans="1:6" x14ac:dyDescent="0.25">
      <c r="A194" t="s">
        <v>745</v>
      </c>
      <c r="B194" t="s">
        <v>765</v>
      </c>
      <c r="C194" t="s">
        <v>770</v>
      </c>
      <c r="D194" t="s">
        <v>516</v>
      </c>
      <c r="E194" t="s">
        <v>33</v>
      </c>
      <c r="F194" t="s">
        <v>842</v>
      </c>
    </row>
    <row r="195" spans="1:6" x14ac:dyDescent="0.25">
      <c r="A195" t="s">
        <v>745</v>
      </c>
      <c r="B195" t="s">
        <v>765</v>
      </c>
      <c r="C195" t="s">
        <v>766</v>
      </c>
      <c r="D195" t="s">
        <v>516</v>
      </c>
      <c r="E195" t="s">
        <v>767</v>
      </c>
      <c r="F195" t="s">
        <v>842</v>
      </c>
    </row>
    <row r="196" spans="1:6" x14ac:dyDescent="0.25">
      <c r="A196" t="s">
        <v>745</v>
      </c>
      <c r="B196" t="s">
        <v>765</v>
      </c>
      <c r="C196" t="s">
        <v>770</v>
      </c>
      <c r="D196" t="s">
        <v>518</v>
      </c>
      <c r="E196" t="s">
        <v>33</v>
      </c>
      <c r="F196" t="s">
        <v>843</v>
      </c>
    </row>
    <row r="197" spans="1:6" x14ac:dyDescent="0.25">
      <c r="A197" t="s">
        <v>745</v>
      </c>
      <c r="B197" t="s">
        <v>765</v>
      </c>
      <c r="C197" t="s">
        <v>766</v>
      </c>
      <c r="D197" t="s">
        <v>518</v>
      </c>
      <c r="E197" t="s">
        <v>767</v>
      </c>
      <c r="F197" t="s">
        <v>843</v>
      </c>
    </row>
    <row r="198" spans="1:6" x14ac:dyDescent="0.25">
      <c r="A198" t="s">
        <v>745</v>
      </c>
      <c r="B198" t="s">
        <v>765</v>
      </c>
      <c r="C198" t="s">
        <v>770</v>
      </c>
      <c r="D198" t="s">
        <v>844</v>
      </c>
      <c r="E198" t="s">
        <v>33</v>
      </c>
      <c r="F198" t="s">
        <v>293</v>
      </c>
    </row>
    <row r="199" spans="1:6" x14ac:dyDescent="0.25">
      <c r="A199" t="s">
        <v>745</v>
      </c>
      <c r="B199" t="s">
        <v>765</v>
      </c>
      <c r="C199" t="s">
        <v>770</v>
      </c>
      <c r="D199" t="s">
        <v>520</v>
      </c>
      <c r="E199" t="s">
        <v>33</v>
      </c>
      <c r="F199" t="s">
        <v>845</v>
      </c>
    </row>
    <row r="200" spans="1:6" x14ac:dyDescent="0.25">
      <c r="A200" t="s">
        <v>745</v>
      </c>
      <c r="B200" t="s">
        <v>765</v>
      </c>
      <c r="C200" t="s">
        <v>766</v>
      </c>
      <c r="D200" t="s">
        <v>520</v>
      </c>
      <c r="E200" t="s">
        <v>767</v>
      </c>
      <c r="F200" t="s">
        <v>845</v>
      </c>
    </row>
    <row r="201" spans="1:6" x14ac:dyDescent="0.25">
      <c r="A201" t="s">
        <v>745</v>
      </c>
      <c r="B201" t="s">
        <v>765</v>
      </c>
      <c r="C201" t="s">
        <v>770</v>
      </c>
      <c r="D201" t="s">
        <v>846</v>
      </c>
      <c r="E201" t="s">
        <v>33</v>
      </c>
      <c r="F201" t="s">
        <v>297</v>
      </c>
    </row>
    <row r="202" spans="1:6" x14ac:dyDescent="0.25">
      <c r="A202" t="s">
        <v>745</v>
      </c>
      <c r="B202" t="s">
        <v>765</v>
      </c>
      <c r="C202" t="s">
        <v>766</v>
      </c>
      <c r="D202" t="s">
        <v>522</v>
      </c>
      <c r="E202" t="s">
        <v>767</v>
      </c>
      <c r="F202" t="s">
        <v>847</v>
      </c>
    </row>
    <row r="203" spans="1:6" x14ac:dyDescent="0.25">
      <c r="A203" t="s">
        <v>745</v>
      </c>
      <c r="B203" t="s">
        <v>765</v>
      </c>
      <c r="C203" t="s">
        <v>770</v>
      </c>
      <c r="D203" t="s">
        <v>848</v>
      </c>
      <c r="E203" t="s">
        <v>33</v>
      </c>
      <c r="F203" t="s">
        <v>299</v>
      </c>
    </row>
    <row r="204" spans="1:6" x14ac:dyDescent="0.25">
      <c r="A204" t="s">
        <v>745</v>
      </c>
      <c r="B204" t="s">
        <v>765</v>
      </c>
      <c r="C204" t="s">
        <v>770</v>
      </c>
      <c r="D204" t="s">
        <v>524</v>
      </c>
      <c r="E204" t="s">
        <v>33</v>
      </c>
      <c r="F204" t="s">
        <v>849</v>
      </c>
    </row>
    <row r="205" spans="1:6" x14ac:dyDescent="0.25">
      <c r="A205" t="s">
        <v>745</v>
      </c>
      <c r="B205" t="s">
        <v>765</v>
      </c>
      <c r="C205" t="s">
        <v>766</v>
      </c>
      <c r="D205" t="s">
        <v>524</v>
      </c>
      <c r="E205" t="s">
        <v>767</v>
      </c>
      <c r="F205" t="s">
        <v>849</v>
      </c>
    </row>
    <row r="206" spans="1:6" x14ac:dyDescent="0.25">
      <c r="A206" t="s">
        <v>745</v>
      </c>
      <c r="B206" t="s">
        <v>765</v>
      </c>
      <c r="C206" t="s">
        <v>770</v>
      </c>
      <c r="D206" t="s">
        <v>526</v>
      </c>
      <c r="E206" t="s">
        <v>33</v>
      </c>
      <c r="F206" t="s">
        <v>850</v>
      </c>
    </row>
    <row r="207" spans="1:6" x14ac:dyDescent="0.25">
      <c r="A207" t="s">
        <v>745</v>
      </c>
      <c r="B207" t="s">
        <v>765</v>
      </c>
      <c r="C207" t="s">
        <v>766</v>
      </c>
      <c r="D207" t="s">
        <v>526</v>
      </c>
      <c r="E207" t="s">
        <v>767</v>
      </c>
      <c r="F207" t="s">
        <v>850</v>
      </c>
    </row>
    <row r="208" spans="1:6" x14ac:dyDescent="0.25">
      <c r="A208" t="s">
        <v>745</v>
      </c>
      <c r="B208" t="s">
        <v>765</v>
      </c>
      <c r="C208" t="s">
        <v>770</v>
      </c>
      <c r="D208" t="s">
        <v>528</v>
      </c>
      <c r="E208" t="s">
        <v>33</v>
      </c>
      <c r="F208" t="s">
        <v>851</v>
      </c>
    </row>
    <row r="209" spans="1:6" x14ac:dyDescent="0.25">
      <c r="A209" t="s">
        <v>745</v>
      </c>
      <c r="B209" t="s">
        <v>765</v>
      </c>
      <c r="C209" t="s">
        <v>766</v>
      </c>
      <c r="D209" t="s">
        <v>528</v>
      </c>
      <c r="E209" t="s">
        <v>767</v>
      </c>
      <c r="F209" t="s">
        <v>851</v>
      </c>
    </row>
    <row r="210" spans="1:6" x14ac:dyDescent="0.25">
      <c r="A210" t="s">
        <v>745</v>
      </c>
      <c r="B210" t="s">
        <v>765</v>
      </c>
      <c r="C210" t="s">
        <v>770</v>
      </c>
      <c r="D210" t="s">
        <v>530</v>
      </c>
      <c r="E210" t="s">
        <v>33</v>
      </c>
      <c r="F210" t="s">
        <v>852</v>
      </c>
    </row>
    <row r="211" spans="1:6" x14ac:dyDescent="0.25">
      <c r="A211" t="s">
        <v>745</v>
      </c>
      <c r="B211" t="s">
        <v>765</v>
      </c>
      <c r="C211" t="s">
        <v>766</v>
      </c>
      <c r="D211" t="s">
        <v>530</v>
      </c>
      <c r="E211" t="s">
        <v>767</v>
      </c>
      <c r="F211" t="s">
        <v>852</v>
      </c>
    </row>
    <row r="212" spans="1:6" x14ac:dyDescent="0.25">
      <c r="A212" t="s">
        <v>745</v>
      </c>
      <c r="B212" t="s">
        <v>765</v>
      </c>
      <c r="C212" t="s">
        <v>766</v>
      </c>
      <c r="D212" t="s">
        <v>532</v>
      </c>
      <c r="E212" t="s">
        <v>767</v>
      </c>
      <c r="F212" t="s">
        <v>853</v>
      </c>
    </row>
    <row r="213" spans="1:6" x14ac:dyDescent="0.25">
      <c r="A213" t="s">
        <v>745</v>
      </c>
      <c r="B213" t="s">
        <v>765</v>
      </c>
      <c r="C213" t="s">
        <v>766</v>
      </c>
      <c r="D213" t="s">
        <v>534</v>
      </c>
      <c r="E213" t="s">
        <v>767</v>
      </c>
      <c r="F213" t="s">
        <v>854</v>
      </c>
    </row>
    <row r="214" spans="1:6" x14ac:dyDescent="0.25">
      <c r="A214" t="s">
        <v>755</v>
      </c>
      <c r="B214" t="s">
        <v>765</v>
      </c>
      <c r="C214" t="s">
        <v>769</v>
      </c>
      <c r="D214" t="s">
        <v>309</v>
      </c>
      <c r="E214" t="s">
        <v>310</v>
      </c>
      <c r="F214" t="s">
        <v>311</v>
      </c>
    </row>
    <row r="215" spans="1:6" x14ac:dyDescent="0.25">
      <c r="A215" t="s">
        <v>745</v>
      </c>
      <c r="B215" t="s">
        <v>765</v>
      </c>
      <c r="C215" t="s">
        <v>770</v>
      </c>
      <c r="D215" t="s">
        <v>537</v>
      </c>
      <c r="E215" t="s">
        <v>33</v>
      </c>
      <c r="F215" t="s">
        <v>855</v>
      </c>
    </row>
    <row r="216" spans="1:6" x14ac:dyDescent="0.25">
      <c r="A216" t="s">
        <v>745</v>
      </c>
      <c r="B216" t="s">
        <v>765</v>
      </c>
      <c r="C216" t="s">
        <v>766</v>
      </c>
      <c r="D216" t="s">
        <v>537</v>
      </c>
      <c r="E216" t="s">
        <v>767</v>
      </c>
      <c r="F216" t="s">
        <v>855</v>
      </c>
    </row>
    <row r="217" spans="1:6" x14ac:dyDescent="0.25">
      <c r="A217" t="s">
        <v>745</v>
      </c>
      <c r="B217" t="s">
        <v>765</v>
      </c>
      <c r="C217" t="s">
        <v>770</v>
      </c>
      <c r="D217" t="s">
        <v>539</v>
      </c>
      <c r="E217" t="s">
        <v>33</v>
      </c>
      <c r="F217" t="s">
        <v>856</v>
      </c>
    </row>
    <row r="218" spans="1:6" x14ac:dyDescent="0.25">
      <c r="A218" t="s">
        <v>745</v>
      </c>
      <c r="B218" t="s">
        <v>765</v>
      </c>
      <c r="C218" t="s">
        <v>766</v>
      </c>
      <c r="D218" t="s">
        <v>539</v>
      </c>
      <c r="E218" t="s">
        <v>767</v>
      </c>
      <c r="F218" t="s">
        <v>856</v>
      </c>
    </row>
    <row r="219" spans="1:6" x14ac:dyDescent="0.25">
      <c r="A219" t="s">
        <v>745</v>
      </c>
      <c r="B219" t="s">
        <v>765</v>
      </c>
      <c r="C219" t="s">
        <v>766</v>
      </c>
      <c r="D219" t="s">
        <v>541</v>
      </c>
      <c r="E219" t="s">
        <v>767</v>
      </c>
      <c r="F219" t="s">
        <v>857</v>
      </c>
    </row>
    <row r="220" spans="1:6" x14ac:dyDescent="0.25">
      <c r="A220" t="s">
        <v>745</v>
      </c>
      <c r="B220" t="s">
        <v>765</v>
      </c>
      <c r="C220" t="s">
        <v>770</v>
      </c>
      <c r="D220" t="s">
        <v>543</v>
      </c>
      <c r="E220" t="s">
        <v>33</v>
      </c>
      <c r="F220" t="s">
        <v>858</v>
      </c>
    </row>
    <row r="221" spans="1:6" x14ac:dyDescent="0.25">
      <c r="A221" t="s">
        <v>745</v>
      </c>
      <c r="B221" t="s">
        <v>765</v>
      </c>
      <c r="C221" t="s">
        <v>766</v>
      </c>
      <c r="D221" t="s">
        <v>543</v>
      </c>
      <c r="E221" t="s">
        <v>767</v>
      </c>
      <c r="F221" t="s">
        <v>858</v>
      </c>
    </row>
    <row r="222" spans="1:6" x14ac:dyDescent="0.25">
      <c r="A222" t="s">
        <v>745</v>
      </c>
      <c r="B222" t="s">
        <v>765</v>
      </c>
      <c r="C222" t="s">
        <v>770</v>
      </c>
      <c r="D222" t="s">
        <v>545</v>
      </c>
      <c r="E222" t="s">
        <v>33</v>
      </c>
      <c r="F222" t="s">
        <v>859</v>
      </c>
    </row>
    <row r="223" spans="1:6" x14ac:dyDescent="0.25">
      <c r="A223" t="s">
        <v>745</v>
      </c>
      <c r="B223" t="s">
        <v>765</v>
      </c>
      <c r="C223" t="s">
        <v>766</v>
      </c>
      <c r="D223" t="s">
        <v>545</v>
      </c>
      <c r="E223" t="s">
        <v>767</v>
      </c>
      <c r="F223" t="s">
        <v>859</v>
      </c>
    </row>
    <row r="224" spans="1:6" x14ac:dyDescent="0.25">
      <c r="A224" t="s">
        <v>745</v>
      </c>
      <c r="B224" t="s">
        <v>765</v>
      </c>
      <c r="C224" t="s">
        <v>770</v>
      </c>
      <c r="D224" t="s">
        <v>547</v>
      </c>
      <c r="E224" t="s">
        <v>33</v>
      </c>
      <c r="F224" t="s">
        <v>860</v>
      </c>
    </row>
    <row r="225" spans="1:6" x14ac:dyDescent="0.25">
      <c r="A225" t="s">
        <v>745</v>
      </c>
      <c r="B225" t="s">
        <v>765</v>
      </c>
      <c r="C225" t="s">
        <v>766</v>
      </c>
      <c r="D225" t="s">
        <v>547</v>
      </c>
      <c r="E225" t="s">
        <v>767</v>
      </c>
      <c r="F225" t="s">
        <v>860</v>
      </c>
    </row>
    <row r="226" spans="1:6" x14ac:dyDescent="0.25">
      <c r="A226" t="s">
        <v>745</v>
      </c>
      <c r="B226" t="s">
        <v>765</v>
      </c>
      <c r="C226" t="s">
        <v>770</v>
      </c>
      <c r="D226" t="s">
        <v>549</v>
      </c>
      <c r="E226" t="s">
        <v>33</v>
      </c>
      <c r="F226" t="s">
        <v>861</v>
      </c>
    </row>
    <row r="227" spans="1:6" x14ac:dyDescent="0.25">
      <c r="A227" t="s">
        <v>745</v>
      </c>
      <c r="B227" t="s">
        <v>765</v>
      </c>
      <c r="C227" t="s">
        <v>766</v>
      </c>
      <c r="D227" t="s">
        <v>549</v>
      </c>
      <c r="E227" t="s">
        <v>767</v>
      </c>
      <c r="F227" t="s">
        <v>861</v>
      </c>
    </row>
    <row r="228" spans="1:6" x14ac:dyDescent="0.25">
      <c r="A228" t="s">
        <v>745</v>
      </c>
      <c r="B228" t="s">
        <v>765</v>
      </c>
      <c r="C228" t="s">
        <v>770</v>
      </c>
      <c r="D228" t="s">
        <v>551</v>
      </c>
      <c r="E228" t="s">
        <v>33</v>
      </c>
      <c r="F228" t="s">
        <v>862</v>
      </c>
    </row>
    <row r="229" spans="1:6" x14ac:dyDescent="0.25">
      <c r="A229" t="s">
        <v>745</v>
      </c>
      <c r="B229" t="s">
        <v>765</v>
      </c>
      <c r="C229" t="s">
        <v>766</v>
      </c>
      <c r="D229" t="s">
        <v>551</v>
      </c>
      <c r="E229" t="s">
        <v>767</v>
      </c>
      <c r="F229" t="s">
        <v>862</v>
      </c>
    </row>
    <row r="230" spans="1:6" x14ac:dyDescent="0.25">
      <c r="A230" t="s">
        <v>745</v>
      </c>
      <c r="B230" t="s">
        <v>765</v>
      </c>
      <c r="C230" t="s">
        <v>770</v>
      </c>
      <c r="D230" t="s">
        <v>553</v>
      </c>
      <c r="E230" t="s">
        <v>33</v>
      </c>
      <c r="F230" t="s">
        <v>863</v>
      </c>
    </row>
    <row r="231" spans="1:6" x14ac:dyDescent="0.25">
      <c r="A231" t="s">
        <v>745</v>
      </c>
      <c r="B231" t="s">
        <v>765</v>
      </c>
      <c r="C231" t="s">
        <v>766</v>
      </c>
      <c r="D231" t="s">
        <v>553</v>
      </c>
      <c r="E231" t="s">
        <v>767</v>
      </c>
      <c r="F231" t="s">
        <v>863</v>
      </c>
    </row>
    <row r="232" spans="1:6" x14ac:dyDescent="0.25">
      <c r="A232" t="s">
        <v>745</v>
      </c>
      <c r="B232" t="s">
        <v>765</v>
      </c>
      <c r="C232" t="s">
        <v>770</v>
      </c>
      <c r="D232" t="s">
        <v>555</v>
      </c>
      <c r="E232" t="s">
        <v>33</v>
      </c>
      <c r="F232" t="s">
        <v>864</v>
      </c>
    </row>
    <row r="233" spans="1:6" x14ac:dyDescent="0.25">
      <c r="A233" t="s">
        <v>745</v>
      </c>
      <c r="B233" t="s">
        <v>765</v>
      </c>
      <c r="C233" t="s">
        <v>766</v>
      </c>
      <c r="D233" t="s">
        <v>555</v>
      </c>
      <c r="E233" t="s">
        <v>767</v>
      </c>
      <c r="F233" t="s">
        <v>864</v>
      </c>
    </row>
    <row r="234" spans="1:6" x14ac:dyDescent="0.25">
      <c r="A234" t="s">
        <v>745</v>
      </c>
      <c r="B234" t="s">
        <v>765</v>
      </c>
      <c r="C234" t="s">
        <v>770</v>
      </c>
      <c r="D234" t="s">
        <v>557</v>
      </c>
      <c r="E234" t="s">
        <v>33</v>
      </c>
      <c r="F234" t="s">
        <v>865</v>
      </c>
    </row>
    <row r="235" spans="1:6" x14ac:dyDescent="0.25">
      <c r="A235" t="s">
        <v>745</v>
      </c>
      <c r="B235" t="s">
        <v>765</v>
      </c>
      <c r="C235" t="s">
        <v>766</v>
      </c>
      <c r="D235" t="s">
        <v>557</v>
      </c>
      <c r="E235" t="s">
        <v>767</v>
      </c>
      <c r="F235" t="s">
        <v>865</v>
      </c>
    </row>
    <row r="236" spans="1:6" x14ac:dyDescent="0.25">
      <c r="A236" t="s">
        <v>755</v>
      </c>
      <c r="B236" t="s">
        <v>765</v>
      </c>
      <c r="C236" t="s">
        <v>769</v>
      </c>
      <c r="D236" t="s">
        <v>559</v>
      </c>
      <c r="E236" t="s">
        <v>866</v>
      </c>
      <c r="F236" t="s">
        <v>867</v>
      </c>
    </row>
    <row r="237" spans="1:6" x14ac:dyDescent="0.25">
      <c r="A237" t="s">
        <v>745</v>
      </c>
      <c r="B237" t="s">
        <v>765</v>
      </c>
      <c r="C237" t="s">
        <v>766</v>
      </c>
      <c r="D237" t="s">
        <v>559</v>
      </c>
      <c r="E237" t="s">
        <v>767</v>
      </c>
      <c r="F237" t="s">
        <v>867</v>
      </c>
    </row>
    <row r="238" spans="1:6" x14ac:dyDescent="0.25">
      <c r="A238" t="s">
        <v>745</v>
      </c>
      <c r="B238" t="s">
        <v>765</v>
      </c>
      <c r="C238" t="s">
        <v>770</v>
      </c>
      <c r="D238" t="s">
        <v>324</v>
      </c>
      <c r="E238" t="s">
        <v>33</v>
      </c>
      <c r="F238" t="s">
        <v>326</v>
      </c>
    </row>
    <row r="239" spans="1:6" x14ac:dyDescent="0.25">
      <c r="A239" t="s">
        <v>745</v>
      </c>
      <c r="B239" t="s">
        <v>765</v>
      </c>
      <c r="C239" t="s">
        <v>770</v>
      </c>
      <c r="D239" t="s">
        <v>868</v>
      </c>
      <c r="E239" t="s">
        <v>33</v>
      </c>
      <c r="F239" t="s">
        <v>328</v>
      </c>
    </row>
    <row r="240" spans="1:6" x14ac:dyDescent="0.25">
      <c r="A240" t="s">
        <v>745</v>
      </c>
      <c r="B240" t="s">
        <v>765</v>
      </c>
      <c r="C240" t="s">
        <v>770</v>
      </c>
      <c r="D240" t="s">
        <v>329</v>
      </c>
      <c r="E240" t="s">
        <v>33</v>
      </c>
      <c r="F240" t="s">
        <v>331</v>
      </c>
    </row>
    <row r="241" spans="1:6" x14ac:dyDescent="0.25">
      <c r="A241" t="s">
        <v>745</v>
      </c>
      <c r="B241" t="s">
        <v>765</v>
      </c>
      <c r="C241" t="s">
        <v>770</v>
      </c>
      <c r="D241" t="s">
        <v>332</v>
      </c>
      <c r="E241" t="s">
        <v>33</v>
      </c>
      <c r="F241" t="s">
        <v>334</v>
      </c>
    </row>
    <row r="242" spans="1:6" x14ac:dyDescent="0.25">
      <c r="A242" t="s">
        <v>755</v>
      </c>
      <c r="B242" t="s">
        <v>765</v>
      </c>
      <c r="C242" t="s">
        <v>769</v>
      </c>
      <c r="D242" t="s">
        <v>561</v>
      </c>
      <c r="E242" t="s">
        <v>869</v>
      </c>
      <c r="F242" t="s">
        <v>870</v>
      </c>
    </row>
    <row r="243" spans="1:6" x14ac:dyDescent="0.25">
      <c r="A243" t="s">
        <v>745</v>
      </c>
      <c r="B243" t="s">
        <v>765</v>
      </c>
      <c r="C243" t="s">
        <v>766</v>
      </c>
      <c r="D243" t="s">
        <v>561</v>
      </c>
      <c r="E243" t="s">
        <v>767</v>
      </c>
      <c r="F243" t="s">
        <v>870</v>
      </c>
    </row>
    <row r="244" spans="1:6" x14ac:dyDescent="0.25">
      <c r="A244" t="s">
        <v>755</v>
      </c>
      <c r="B244" t="s">
        <v>765</v>
      </c>
      <c r="C244" t="s">
        <v>769</v>
      </c>
      <c r="D244" t="s">
        <v>349</v>
      </c>
      <c r="E244" t="s">
        <v>350</v>
      </c>
      <c r="F244" t="s">
        <v>351</v>
      </c>
    </row>
    <row r="245" spans="1:6" x14ac:dyDescent="0.25">
      <c r="A245" t="s">
        <v>755</v>
      </c>
      <c r="B245" t="s">
        <v>765</v>
      </c>
      <c r="C245" t="s">
        <v>769</v>
      </c>
      <c r="D245" t="s">
        <v>352</v>
      </c>
      <c r="E245" t="s">
        <v>353</v>
      </c>
      <c r="F245" t="s">
        <v>354</v>
      </c>
    </row>
    <row r="246" spans="1:6" x14ac:dyDescent="0.25">
      <c r="A246" t="s">
        <v>745</v>
      </c>
      <c r="B246" t="s">
        <v>765</v>
      </c>
      <c r="C246" t="s">
        <v>770</v>
      </c>
      <c r="D246" t="s">
        <v>871</v>
      </c>
      <c r="E246" t="s">
        <v>33</v>
      </c>
      <c r="F246" t="s">
        <v>356</v>
      </c>
    </row>
    <row r="247" spans="1:6" x14ac:dyDescent="0.25">
      <c r="A247" t="s">
        <v>745</v>
      </c>
      <c r="B247" t="s">
        <v>765</v>
      </c>
      <c r="C247" t="s">
        <v>770</v>
      </c>
      <c r="D247" t="s">
        <v>357</v>
      </c>
      <c r="E247" t="s">
        <v>33</v>
      </c>
      <c r="F247" t="s">
        <v>359</v>
      </c>
    </row>
    <row r="248" spans="1:6" x14ac:dyDescent="0.25">
      <c r="A248" t="s">
        <v>745</v>
      </c>
      <c r="B248" t="s">
        <v>765</v>
      </c>
      <c r="C248" t="s">
        <v>766</v>
      </c>
      <c r="D248" t="s">
        <v>563</v>
      </c>
      <c r="E248" t="s">
        <v>767</v>
      </c>
      <c r="F248" t="s">
        <v>872</v>
      </c>
    </row>
    <row r="249" spans="1:6" x14ac:dyDescent="0.25">
      <c r="A249" t="s">
        <v>745</v>
      </c>
      <c r="B249" t="s">
        <v>765</v>
      </c>
      <c r="C249" t="s">
        <v>766</v>
      </c>
      <c r="D249" t="s">
        <v>565</v>
      </c>
      <c r="E249" t="s">
        <v>767</v>
      </c>
      <c r="F249" t="s">
        <v>873</v>
      </c>
    </row>
    <row r="250" spans="1:6" x14ac:dyDescent="0.25">
      <c r="A250" t="s">
        <v>745</v>
      </c>
      <c r="B250" t="s">
        <v>765</v>
      </c>
      <c r="C250" t="s">
        <v>766</v>
      </c>
      <c r="D250" t="s">
        <v>567</v>
      </c>
      <c r="E250" t="s">
        <v>767</v>
      </c>
      <c r="F250" t="s">
        <v>874</v>
      </c>
    </row>
    <row r="251" spans="1:6" x14ac:dyDescent="0.25">
      <c r="A251" t="s">
        <v>745</v>
      </c>
      <c r="B251" t="s">
        <v>765</v>
      </c>
      <c r="C251" t="s">
        <v>766</v>
      </c>
      <c r="D251" t="s">
        <v>569</v>
      </c>
      <c r="E251" t="s">
        <v>767</v>
      </c>
      <c r="F251" t="s">
        <v>875</v>
      </c>
    </row>
    <row r="252" spans="1:6" x14ac:dyDescent="0.25">
      <c r="A252" t="s">
        <v>745</v>
      </c>
      <c r="B252" t="s">
        <v>765</v>
      </c>
      <c r="C252" t="s">
        <v>766</v>
      </c>
      <c r="D252" t="s">
        <v>571</v>
      </c>
      <c r="E252" t="s">
        <v>767</v>
      </c>
      <c r="F252" t="s">
        <v>876</v>
      </c>
    </row>
    <row r="253" spans="1:6" x14ac:dyDescent="0.25">
      <c r="A253" t="s">
        <v>745</v>
      </c>
      <c r="B253" t="s">
        <v>765</v>
      </c>
      <c r="C253" t="s">
        <v>770</v>
      </c>
      <c r="D253" t="s">
        <v>573</v>
      </c>
      <c r="E253" t="s">
        <v>33</v>
      </c>
      <c r="F253" t="s">
        <v>877</v>
      </c>
    </row>
    <row r="254" spans="1:6" x14ac:dyDescent="0.25">
      <c r="A254" t="s">
        <v>745</v>
      </c>
      <c r="B254" t="s">
        <v>765</v>
      </c>
      <c r="C254" t="s">
        <v>766</v>
      </c>
      <c r="D254" t="s">
        <v>573</v>
      </c>
      <c r="E254" t="s">
        <v>767</v>
      </c>
      <c r="F254" t="s">
        <v>877</v>
      </c>
    </row>
    <row r="255" spans="1:6" x14ac:dyDescent="0.25">
      <c r="A255" t="s">
        <v>745</v>
      </c>
      <c r="B255" t="s">
        <v>765</v>
      </c>
      <c r="C255" t="s">
        <v>766</v>
      </c>
      <c r="D255" t="s">
        <v>575</v>
      </c>
      <c r="E255" t="s">
        <v>767</v>
      </c>
      <c r="F255" t="s">
        <v>878</v>
      </c>
    </row>
    <row r="256" spans="1:6" x14ac:dyDescent="0.25">
      <c r="A256" t="s">
        <v>755</v>
      </c>
      <c r="B256" t="s">
        <v>765</v>
      </c>
      <c r="C256" t="s">
        <v>769</v>
      </c>
      <c r="D256" t="s">
        <v>577</v>
      </c>
      <c r="E256" t="s">
        <v>879</v>
      </c>
      <c r="F256" t="s">
        <v>880</v>
      </c>
    </row>
    <row r="257" spans="1:6" x14ac:dyDescent="0.25">
      <c r="A257" t="s">
        <v>745</v>
      </c>
      <c r="B257" t="s">
        <v>765</v>
      </c>
      <c r="C257" t="s">
        <v>766</v>
      </c>
      <c r="D257" t="s">
        <v>577</v>
      </c>
      <c r="E257" t="s">
        <v>767</v>
      </c>
      <c r="F257" t="s">
        <v>880</v>
      </c>
    </row>
    <row r="258" spans="1:6" x14ac:dyDescent="0.25">
      <c r="A258" t="s">
        <v>745</v>
      </c>
      <c r="B258" t="s">
        <v>765</v>
      </c>
      <c r="C258" t="s">
        <v>770</v>
      </c>
      <c r="D258" t="s">
        <v>579</v>
      </c>
      <c r="E258" t="s">
        <v>33</v>
      </c>
      <c r="F258" t="s">
        <v>881</v>
      </c>
    </row>
    <row r="259" spans="1:6" x14ac:dyDescent="0.25">
      <c r="A259" t="s">
        <v>745</v>
      </c>
      <c r="B259" t="s">
        <v>765</v>
      </c>
      <c r="C259" t="s">
        <v>766</v>
      </c>
      <c r="D259" t="s">
        <v>579</v>
      </c>
      <c r="E259" t="s">
        <v>767</v>
      </c>
      <c r="F259" t="s">
        <v>881</v>
      </c>
    </row>
    <row r="260" spans="1:6" x14ac:dyDescent="0.25">
      <c r="A260" t="s">
        <v>745</v>
      </c>
      <c r="B260" t="s">
        <v>765</v>
      </c>
      <c r="C260" t="s">
        <v>770</v>
      </c>
      <c r="D260" t="s">
        <v>581</v>
      </c>
      <c r="E260" t="s">
        <v>33</v>
      </c>
      <c r="F260" t="s">
        <v>882</v>
      </c>
    </row>
    <row r="261" spans="1:6" x14ac:dyDescent="0.25">
      <c r="A261" t="s">
        <v>745</v>
      </c>
      <c r="B261" t="s">
        <v>765</v>
      </c>
      <c r="C261" t="s">
        <v>766</v>
      </c>
      <c r="D261" t="s">
        <v>581</v>
      </c>
      <c r="E261" t="s">
        <v>767</v>
      </c>
      <c r="F261" t="s">
        <v>882</v>
      </c>
    </row>
    <row r="262" spans="1:6" x14ac:dyDescent="0.25">
      <c r="A262" t="s">
        <v>745</v>
      </c>
      <c r="B262" t="s">
        <v>765</v>
      </c>
      <c r="C262" t="s">
        <v>770</v>
      </c>
      <c r="D262" t="s">
        <v>583</v>
      </c>
      <c r="E262" t="s">
        <v>33</v>
      </c>
      <c r="F262" t="s">
        <v>883</v>
      </c>
    </row>
    <row r="263" spans="1:6" x14ac:dyDescent="0.25">
      <c r="A263" t="s">
        <v>745</v>
      </c>
      <c r="B263" t="s">
        <v>765</v>
      </c>
      <c r="C263" t="s">
        <v>766</v>
      </c>
      <c r="D263" t="s">
        <v>583</v>
      </c>
      <c r="E263" t="s">
        <v>767</v>
      </c>
      <c r="F263" t="s">
        <v>883</v>
      </c>
    </row>
    <row r="264" spans="1:6" x14ac:dyDescent="0.25">
      <c r="A264" t="s">
        <v>745</v>
      </c>
      <c r="B264" t="s">
        <v>765</v>
      </c>
      <c r="C264" t="s">
        <v>770</v>
      </c>
      <c r="D264" t="s">
        <v>585</v>
      </c>
      <c r="E264" t="s">
        <v>33</v>
      </c>
      <c r="F264" t="s">
        <v>884</v>
      </c>
    </row>
    <row r="265" spans="1:6" x14ac:dyDescent="0.25">
      <c r="A265" t="s">
        <v>745</v>
      </c>
      <c r="B265" t="s">
        <v>765</v>
      </c>
      <c r="C265" t="s">
        <v>766</v>
      </c>
      <c r="D265" t="s">
        <v>585</v>
      </c>
      <c r="E265" t="s">
        <v>767</v>
      </c>
      <c r="F265" t="s">
        <v>884</v>
      </c>
    </row>
    <row r="266" spans="1:6" x14ac:dyDescent="0.25">
      <c r="A266" t="s">
        <v>745</v>
      </c>
      <c r="B266" t="s">
        <v>765</v>
      </c>
      <c r="C266" t="s">
        <v>770</v>
      </c>
      <c r="D266" t="s">
        <v>587</v>
      </c>
      <c r="E266" t="s">
        <v>33</v>
      </c>
      <c r="F266" t="s">
        <v>885</v>
      </c>
    </row>
    <row r="267" spans="1:6" x14ac:dyDescent="0.25">
      <c r="A267" t="s">
        <v>745</v>
      </c>
      <c r="B267" t="s">
        <v>765</v>
      </c>
      <c r="C267" t="s">
        <v>766</v>
      </c>
      <c r="D267" t="s">
        <v>587</v>
      </c>
      <c r="E267" t="s">
        <v>767</v>
      </c>
      <c r="F267" t="s">
        <v>885</v>
      </c>
    </row>
    <row r="268" spans="1:6" x14ac:dyDescent="0.25">
      <c r="A268" t="s">
        <v>745</v>
      </c>
      <c r="B268" t="s">
        <v>765</v>
      </c>
      <c r="C268" t="s">
        <v>770</v>
      </c>
      <c r="D268" t="s">
        <v>589</v>
      </c>
      <c r="E268" t="s">
        <v>33</v>
      </c>
      <c r="F268" t="s">
        <v>886</v>
      </c>
    </row>
    <row r="269" spans="1:6" x14ac:dyDescent="0.25">
      <c r="A269" t="s">
        <v>745</v>
      </c>
      <c r="B269" t="s">
        <v>765</v>
      </c>
      <c r="C269" t="s">
        <v>766</v>
      </c>
      <c r="D269" t="s">
        <v>589</v>
      </c>
      <c r="E269" t="s">
        <v>767</v>
      </c>
      <c r="F269" t="s">
        <v>886</v>
      </c>
    </row>
    <row r="270" spans="1:6" x14ac:dyDescent="0.25">
      <c r="A270" t="s">
        <v>745</v>
      </c>
      <c r="B270" t="s">
        <v>765</v>
      </c>
      <c r="C270" t="s">
        <v>770</v>
      </c>
      <c r="D270" t="s">
        <v>591</v>
      </c>
      <c r="E270" t="s">
        <v>33</v>
      </c>
      <c r="F270" t="s">
        <v>887</v>
      </c>
    </row>
    <row r="271" spans="1:6" x14ac:dyDescent="0.25">
      <c r="A271" t="s">
        <v>745</v>
      </c>
      <c r="B271" t="s">
        <v>765</v>
      </c>
      <c r="C271" t="s">
        <v>766</v>
      </c>
      <c r="D271" t="s">
        <v>591</v>
      </c>
      <c r="E271" t="s">
        <v>767</v>
      </c>
      <c r="F271" t="s">
        <v>887</v>
      </c>
    </row>
    <row r="272" spans="1:6" x14ac:dyDescent="0.25">
      <c r="A272" t="s">
        <v>745</v>
      </c>
      <c r="B272" t="s">
        <v>765</v>
      </c>
      <c r="C272" t="s">
        <v>770</v>
      </c>
      <c r="D272" t="s">
        <v>377</v>
      </c>
      <c r="E272" t="s">
        <v>33</v>
      </c>
      <c r="F272" t="s">
        <v>379</v>
      </c>
    </row>
    <row r="273" spans="1:6" x14ac:dyDescent="0.25">
      <c r="A273" t="s">
        <v>745</v>
      </c>
      <c r="B273" t="s">
        <v>765</v>
      </c>
      <c r="C273" t="s">
        <v>770</v>
      </c>
      <c r="D273" t="s">
        <v>593</v>
      </c>
      <c r="E273" t="s">
        <v>33</v>
      </c>
      <c r="F273" t="s">
        <v>888</v>
      </c>
    </row>
    <row r="274" spans="1:6" x14ac:dyDescent="0.25">
      <c r="A274" t="s">
        <v>745</v>
      </c>
      <c r="B274" t="s">
        <v>765</v>
      </c>
      <c r="C274" t="s">
        <v>766</v>
      </c>
      <c r="D274" t="s">
        <v>593</v>
      </c>
      <c r="E274" t="s">
        <v>767</v>
      </c>
      <c r="F274" t="s">
        <v>888</v>
      </c>
    </row>
    <row r="275" spans="1:6" x14ac:dyDescent="0.25">
      <c r="A275" t="s">
        <v>745</v>
      </c>
      <c r="B275" t="s">
        <v>765</v>
      </c>
      <c r="C275" t="s">
        <v>770</v>
      </c>
      <c r="D275" t="s">
        <v>380</v>
      </c>
      <c r="E275" t="s">
        <v>33</v>
      </c>
      <c r="F275" t="s">
        <v>382</v>
      </c>
    </row>
    <row r="276" spans="1:6" x14ac:dyDescent="0.25">
      <c r="A276" t="s">
        <v>745</v>
      </c>
      <c r="B276" t="s">
        <v>765</v>
      </c>
      <c r="C276" t="s">
        <v>766</v>
      </c>
      <c r="D276" t="s">
        <v>595</v>
      </c>
      <c r="E276" t="s">
        <v>767</v>
      </c>
      <c r="F276" t="s">
        <v>889</v>
      </c>
    </row>
    <row r="277" spans="1:6" x14ac:dyDescent="0.25">
      <c r="A277" t="s">
        <v>745</v>
      </c>
      <c r="B277" t="s">
        <v>765</v>
      </c>
      <c r="C277" t="s">
        <v>766</v>
      </c>
      <c r="D277" t="s">
        <v>597</v>
      </c>
      <c r="E277" t="s">
        <v>767</v>
      </c>
      <c r="F277" t="s">
        <v>890</v>
      </c>
    </row>
    <row r="278" spans="1:6" x14ac:dyDescent="0.25">
      <c r="A278" t="s">
        <v>745</v>
      </c>
      <c r="B278" t="s">
        <v>765</v>
      </c>
      <c r="C278" t="s">
        <v>770</v>
      </c>
      <c r="D278" t="s">
        <v>599</v>
      </c>
      <c r="E278" t="s">
        <v>33</v>
      </c>
      <c r="F278" t="s">
        <v>891</v>
      </c>
    </row>
    <row r="279" spans="1:6" x14ac:dyDescent="0.25">
      <c r="A279" t="s">
        <v>745</v>
      </c>
      <c r="B279" t="s">
        <v>765</v>
      </c>
      <c r="C279" t="s">
        <v>766</v>
      </c>
      <c r="D279" t="s">
        <v>599</v>
      </c>
      <c r="E279" t="s">
        <v>767</v>
      </c>
      <c r="F279" t="s">
        <v>891</v>
      </c>
    </row>
    <row r="280" spans="1:6" x14ac:dyDescent="0.25">
      <c r="A280" t="s">
        <v>745</v>
      </c>
      <c r="B280" t="s">
        <v>765</v>
      </c>
      <c r="C280" t="s">
        <v>766</v>
      </c>
      <c r="D280" t="s">
        <v>601</v>
      </c>
      <c r="E280" t="s">
        <v>767</v>
      </c>
      <c r="F280" t="s">
        <v>892</v>
      </c>
    </row>
    <row r="281" spans="1:6" x14ac:dyDescent="0.25">
      <c r="A281" t="s">
        <v>745</v>
      </c>
      <c r="B281" t="s">
        <v>765</v>
      </c>
      <c r="C281" t="s">
        <v>770</v>
      </c>
      <c r="D281" t="s">
        <v>603</v>
      </c>
      <c r="E281" t="s">
        <v>33</v>
      </c>
      <c r="F281" t="s">
        <v>893</v>
      </c>
    </row>
    <row r="282" spans="1:6" x14ac:dyDescent="0.25">
      <c r="A282" t="s">
        <v>745</v>
      </c>
      <c r="B282" t="s">
        <v>765</v>
      </c>
      <c r="C282" t="s">
        <v>766</v>
      </c>
      <c r="D282" t="s">
        <v>603</v>
      </c>
      <c r="E282" t="s">
        <v>767</v>
      </c>
      <c r="F282" t="s">
        <v>893</v>
      </c>
    </row>
    <row r="283" spans="1:6" x14ac:dyDescent="0.25">
      <c r="A283" t="s">
        <v>745</v>
      </c>
      <c r="B283" t="s">
        <v>765</v>
      </c>
      <c r="C283" t="s">
        <v>770</v>
      </c>
      <c r="D283" t="s">
        <v>605</v>
      </c>
      <c r="E283" t="s">
        <v>33</v>
      </c>
      <c r="F283" t="s">
        <v>894</v>
      </c>
    </row>
    <row r="284" spans="1:6" x14ac:dyDescent="0.25">
      <c r="A284" t="s">
        <v>745</v>
      </c>
      <c r="B284" t="s">
        <v>765</v>
      </c>
      <c r="C284" t="s">
        <v>766</v>
      </c>
      <c r="D284" t="s">
        <v>605</v>
      </c>
      <c r="E284" t="s">
        <v>767</v>
      </c>
      <c r="F284" t="s">
        <v>894</v>
      </c>
    </row>
    <row r="285" spans="1:6" x14ac:dyDescent="0.25">
      <c r="A285" t="s">
        <v>745</v>
      </c>
      <c r="B285" t="s">
        <v>765</v>
      </c>
      <c r="C285" t="s">
        <v>770</v>
      </c>
      <c r="D285" t="s">
        <v>606</v>
      </c>
      <c r="E285" t="s">
        <v>33</v>
      </c>
      <c r="F285" t="s">
        <v>895</v>
      </c>
    </row>
    <row r="286" spans="1:6" x14ac:dyDescent="0.25">
      <c r="A286" t="s">
        <v>745</v>
      </c>
      <c r="B286" t="s">
        <v>765</v>
      </c>
      <c r="C286" t="s">
        <v>766</v>
      </c>
      <c r="D286" t="s">
        <v>606</v>
      </c>
      <c r="E286" t="s">
        <v>767</v>
      </c>
      <c r="F286" t="s">
        <v>895</v>
      </c>
    </row>
    <row r="287" spans="1:6" x14ac:dyDescent="0.25">
      <c r="A287" t="s">
        <v>745</v>
      </c>
      <c r="B287" t="s">
        <v>765</v>
      </c>
      <c r="C287" t="s">
        <v>770</v>
      </c>
      <c r="D287" t="s">
        <v>608</v>
      </c>
      <c r="E287" t="s">
        <v>33</v>
      </c>
      <c r="F287" t="s">
        <v>896</v>
      </c>
    </row>
    <row r="288" spans="1:6" x14ac:dyDescent="0.25">
      <c r="A288" t="s">
        <v>745</v>
      </c>
      <c r="B288" t="s">
        <v>765</v>
      </c>
      <c r="C288" t="s">
        <v>766</v>
      </c>
      <c r="D288" t="s">
        <v>608</v>
      </c>
      <c r="E288" t="s">
        <v>767</v>
      </c>
      <c r="F288" t="s">
        <v>896</v>
      </c>
    </row>
    <row r="289" spans="1:6" x14ac:dyDescent="0.25">
      <c r="A289" t="s">
        <v>745</v>
      </c>
      <c r="B289" t="s">
        <v>765</v>
      </c>
      <c r="C289" t="s">
        <v>770</v>
      </c>
      <c r="D289" t="s">
        <v>609</v>
      </c>
      <c r="E289" t="s">
        <v>33</v>
      </c>
      <c r="F289" t="s">
        <v>897</v>
      </c>
    </row>
    <row r="290" spans="1:6" x14ac:dyDescent="0.25">
      <c r="A290" t="s">
        <v>745</v>
      </c>
      <c r="B290" t="s">
        <v>765</v>
      </c>
      <c r="C290" t="s">
        <v>766</v>
      </c>
      <c r="D290" t="s">
        <v>609</v>
      </c>
      <c r="E290" t="s">
        <v>767</v>
      </c>
      <c r="F290" t="s">
        <v>897</v>
      </c>
    </row>
    <row r="291" spans="1:6" x14ac:dyDescent="0.25">
      <c r="A291" t="s">
        <v>745</v>
      </c>
      <c r="B291" t="s">
        <v>765</v>
      </c>
      <c r="C291" t="s">
        <v>770</v>
      </c>
      <c r="D291" t="s">
        <v>611</v>
      </c>
      <c r="E291" t="s">
        <v>33</v>
      </c>
      <c r="F291" t="s">
        <v>898</v>
      </c>
    </row>
    <row r="292" spans="1:6" x14ac:dyDescent="0.25">
      <c r="A292" t="s">
        <v>745</v>
      </c>
      <c r="B292" t="s">
        <v>765</v>
      </c>
      <c r="C292" t="s">
        <v>766</v>
      </c>
      <c r="D292" t="s">
        <v>611</v>
      </c>
      <c r="E292" t="s">
        <v>767</v>
      </c>
      <c r="F292" t="s">
        <v>898</v>
      </c>
    </row>
    <row r="293" spans="1:6" x14ac:dyDescent="0.25">
      <c r="A293" t="s">
        <v>755</v>
      </c>
      <c r="B293" t="s">
        <v>765</v>
      </c>
      <c r="C293" t="s">
        <v>769</v>
      </c>
      <c r="D293" t="s">
        <v>613</v>
      </c>
      <c r="E293" t="s">
        <v>899</v>
      </c>
      <c r="F293" t="s">
        <v>900</v>
      </c>
    </row>
    <row r="294" spans="1:6" x14ac:dyDescent="0.25">
      <c r="A294" t="s">
        <v>745</v>
      </c>
      <c r="B294" t="s">
        <v>765</v>
      </c>
      <c r="C294" t="s">
        <v>766</v>
      </c>
      <c r="D294" t="s">
        <v>613</v>
      </c>
      <c r="E294" t="s">
        <v>767</v>
      </c>
      <c r="F294" t="s">
        <v>900</v>
      </c>
    </row>
    <row r="295" spans="1:6" x14ac:dyDescent="0.25">
      <c r="A295" t="s">
        <v>745</v>
      </c>
      <c r="B295" t="s">
        <v>765</v>
      </c>
      <c r="C295" t="s">
        <v>770</v>
      </c>
      <c r="D295" t="s">
        <v>615</v>
      </c>
      <c r="E295" t="s">
        <v>33</v>
      </c>
      <c r="F295" t="s">
        <v>901</v>
      </c>
    </row>
    <row r="296" spans="1:6" x14ac:dyDescent="0.25">
      <c r="A296" t="s">
        <v>745</v>
      </c>
      <c r="B296" t="s">
        <v>765</v>
      </c>
      <c r="C296" t="s">
        <v>766</v>
      </c>
      <c r="D296" t="s">
        <v>615</v>
      </c>
      <c r="E296" t="s">
        <v>767</v>
      </c>
      <c r="F296" t="s">
        <v>901</v>
      </c>
    </row>
    <row r="297" spans="1:6" x14ac:dyDescent="0.25">
      <c r="A297" t="s">
        <v>745</v>
      </c>
      <c r="B297" t="s">
        <v>765</v>
      </c>
      <c r="C297" t="s">
        <v>770</v>
      </c>
      <c r="D297" t="s">
        <v>617</v>
      </c>
      <c r="E297" t="s">
        <v>33</v>
      </c>
      <c r="F297" t="s">
        <v>902</v>
      </c>
    </row>
    <row r="298" spans="1:6" x14ac:dyDescent="0.25">
      <c r="A298" t="s">
        <v>745</v>
      </c>
      <c r="B298" t="s">
        <v>765</v>
      </c>
      <c r="C298" t="s">
        <v>766</v>
      </c>
      <c r="D298" t="s">
        <v>617</v>
      </c>
      <c r="E298" t="s">
        <v>767</v>
      </c>
      <c r="F298" t="s">
        <v>902</v>
      </c>
    </row>
    <row r="299" spans="1:6" x14ac:dyDescent="0.25">
      <c r="A299" t="s">
        <v>745</v>
      </c>
      <c r="B299" t="s">
        <v>765</v>
      </c>
      <c r="C299" t="s">
        <v>770</v>
      </c>
      <c r="D299" t="s">
        <v>619</v>
      </c>
      <c r="E299" t="s">
        <v>33</v>
      </c>
      <c r="F299" t="s">
        <v>903</v>
      </c>
    </row>
    <row r="300" spans="1:6" x14ac:dyDescent="0.25">
      <c r="A300" t="s">
        <v>745</v>
      </c>
      <c r="B300" t="s">
        <v>765</v>
      </c>
      <c r="C300" t="s">
        <v>766</v>
      </c>
      <c r="D300" t="s">
        <v>619</v>
      </c>
      <c r="E300" t="s">
        <v>767</v>
      </c>
      <c r="F300" t="s">
        <v>903</v>
      </c>
    </row>
    <row r="301" spans="1:6" x14ac:dyDescent="0.25">
      <c r="A301" t="s">
        <v>745</v>
      </c>
      <c r="B301" t="s">
        <v>765</v>
      </c>
      <c r="C301" t="s">
        <v>770</v>
      </c>
      <c r="D301" t="s">
        <v>621</v>
      </c>
      <c r="E301" t="s">
        <v>33</v>
      </c>
      <c r="F301" t="s">
        <v>904</v>
      </c>
    </row>
    <row r="302" spans="1:6" x14ac:dyDescent="0.25">
      <c r="A302" t="s">
        <v>745</v>
      </c>
      <c r="B302" t="s">
        <v>765</v>
      </c>
      <c r="C302" t="s">
        <v>766</v>
      </c>
      <c r="D302" t="s">
        <v>621</v>
      </c>
      <c r="E302" t="s">
        <v>767</v>
      </c>
      <c r="F302" t="s">
        <v>904</v>
      </c>
    </row>
    <row r="303" spans="1:6" x14ac:dyDescent="0.25">
      <c r="A303" t="s">
        <v>745</v>
      </c>
      <c r="B303" t="s">
        <v>765</v>
      </c>
      <c r="C303" t="s">
        <v>766</v>
      </c>
      <c r="D303" t="s">
        <v>623</v>
      </c>
      <c r="E303" t="s">
        <v>767</v>
      </c>
      <c r="F303" t="s">
        <v>905</v>
      </c>
    </row>
    <row r="304" spans="1:6" x14ac:dyDescent="0.25">
      <c r="A304" t="s">
        <v>745</v>
      </c>
      <c r="B304" t="s">
        <v>765</v>
      </c>
      <c r="C304" t="s">
        <v>770</v>
      </c>
      <c r="D304" t="s">
        <v>625</v>
      </c>
      <c r="E304" t="s">
        <v>33</v>
      </c>
      <c r="F304" t="s">
        <v>906</v>
      </c>
    </row>
    <row r="305" spans="1:6" x14ac:dyDescent="0.25">
      <c r="A305" t="s">
        <v>745</v>
      </c>
      <c r="B305" t="s">
        <v>765</v>
      </c>
      <c r="C305" t="s">
        <v>766</v>
      </c>
      <c r="D305" t="s">
        <v>625</v>
      </c>
      <c r="E305" t="s">
        <v>767</v>
      </c>
      <c r="F305" t="s">
        <v>906</v>
      </c>
    </row>
    <row r="306" spans="1:6" x14ac:dyDescent="0.25">
      <c r="A306" t="s">
        <v>745</v>
      </c>
      <c r="B306" t="s">
        <v>765</v>
      </c>
      <c r="C306" t="s">
        <v>770</v>
      </c>
      <c r="D306" t="s">
        <v>627</v>
      </c>
      <c r="E306" t="s">
        <v>33</v>
      </c>
      <c r="F306" t="s">
        <v>907</v>
      </c>
    </row>
    <row r="307" spans="1:6" x14ac:dyDescent="0.25">
      <c r="A307" t="s">
        <v>745</v>
      </c>
      <c r="B307" t="s">
        <v>765</v>
      </c>
      <c r="C307" t="s">
        <v>766</v>
      </c>
      <c r="D307" t="s">
        <v>627</v>
      </c>
      <c r="E307" t="s">
        <v>767</v>
      </c>
      <c r="F307" t="s">
        <v>907</v>
      </c>
    </row>
    <row r="308" spans="1:6" x14ac:dyDescent="0.25">
      <c r="A308" t="s">
        <v>745</v>
      </c>
      <c r="B308" t="s">
        <v>765</v>
      </c>
      <c r="C308" t="s">
        <v>770</v>
      </c>
      <c r="D308" t="s">
        <v>629</v>
      </c>
      <c r="E308" t="s">
        <v>33</v>
      </c>
      <c r="F308" t="s">
        <v>908</v>
      </c>
    </row>
    <row r="309" spans="1:6" x14ac:dyDescent="0.25">
      <c r="A309" t="s">
        <v>745</v>
      </c>
      <c r="B309" t="s">
        <v>765</v>
      </c>
      <c r="C309" t="s">
        <v>766</v>
      </c>
      <c r="D309" t="s">
        <v>629</v>
      </c>
      <c r="E309" t="s">
        <v>767</v>
      </c>
      <c r="F309" t="s">
        <v>908</v>
      </c>
    </row>
    <row r="310" spans="1:6" x14ac:dyDescent="0.25">
      <c r="A310" t="s">
        <v>745</v>
      </c>
      <c r="B310" t="s">
        <v>765</v>
      </c>
      <c r="C310" t="s">
        <v>770</v>
      </c>
      <c r="D310" t="s">
        <v>631</v>
      </c>
      <c r="E310" t="s">
        <v>33</v>
      </c>
      <c r="F310" t="s">
        <v>909</v>
      </c>
    </row>
    <row r="311" spans="1:6" x14ac:dyDescent="0.25">
      <c r="A311" t="s">
        <v>745</v>
      </c>
      <c r="B311" t="s">
        <v>765</v>
      </c>
      <c r="C311" t="s">
        <v>766</v>
      </c>
      <c r="D311" t="s">
        <v>631</v>
      </c>
      <c r="E311" t="s">
        <v>767</v>
      </c>
      <c r="F311" t="s">
        <v>909</v>
      </c>
    </row>
    <row r="312" spans="1:6" x14ac:dyDescent="0.25">
      <c r="A312" t="s">
        <v>745</v>
      </c>
      <c r="B312" t="s">
        <v>765</v>
      </c>
      <c r="C312" t="s">
        <v>770</v>
      </c>
      <c r="D312" t="s">
        <v>633</v>
      </c>
      <c r="E312" t="s">
        <v>33</v>
      </c>
      <c r="F312" t="s">
        <v>910</v>
      </c>
    </row>
    <row r="313" spans="1:6" x14ac:dyDescent="0.25">
      <c r="A313" t="s">
        <v>745</v>
      </c>
      <c r="B313" t="s">
        <v>765</v>
      </c>
      <c r="C313" t="s">
        <v>766</v>
      </c>
      <c r="D313" t="s">
        <v>633</v>
      </c>
      <c r="E313" t="s">
        <v>767</v>
      </c>
      <c r="F313" t="s">
        <v>910</v>
      </c>
    </row>
    <row r="314" spans="1:6" x14ac:dyDescent="0.25">
      <c r="A314" t="s">
        <v>745</v>
      </c>
      <c r="B314" t="s">
        <v>765</v>
      </c>
      <c r="C314" t="s">
        <v>770</v>
      </c>
      <c r="D314" t="s">
        <v>635</v>
      </c>
      <c r="E314" t="s">
        <v>33</v>
      </c>
      <c r="F314" t="s">
        <v>911</v>
      </c>
    </row>
    <row r="315" spans="1:6" x14ac:dyDescent="0.25">
      <c r="A315" t="s">
        <v>745</v>
      </c>
      <c r="B315" t="s">
        <v>765</v>
      </c>
      <c r="C315" t="s">
        <v>766</v>
      </c>
      <c r="D315" t="s">
        <v>635</v>
      </c>
      <c r="E315" t="s">
        <v>767</v>
      </c>
      <c r="F315" t="s">
        <v>911</v>
      </c>
    </row>
    <row r="316" spans="1:6" x14ac:dyDescent="0.25">
      <c r="A316" t="s">
        <v>745</v>
      </c>
      <c r="B316" t="s">
        <v>765</v>
      </c>
      <c r="C316" t="s">
        <v>770</v>
      </c>
      <c r="D316" t="s">
        <v>637</v>
      </c>
      <c r="E316" t="s">
        <v>33</v>
      </c>
      <c r="F316" t="s">
        <v>912</v>
      </c>
    </row>
    <row r="317" spans="1:6" x14ac:dyDescent="0.25">
      <c r="A317" t="s">
        <v>745</v>
      </c>
      <c r="B317" t="s">
        <v>765</v>
      </c>
      <c r="C317" t="s">
        <v>766</v>
      </c>
      <c r="D317" t="s">
        <v>637</v>
      </c>
      <c r="E317" t="s">
        <v>767</v>
      </c>
      <c r="F317" t="s">
        <v>912</v>
      </c>
    </row>
    <row r="318" spans="1:6" x14ac:dyDescent="0.25">
      <c r="A318" t="s">
        <v>745</v>
      </c>
      <c r="B318" t="s">
        <v>765</v>
      </c>
      <c r="C318" t="s">
        <v>770</v>
      </c>
      <c r="D318" t="s">
        <v>639</v>
      </c>
      <c r="E318" t="s">
        <v>33</v>
      </c>
      <c r="F318" t="s">
        <v>913</v>
      </c>
    </row>
    <row r="319" spans="1:6" x14ac:dyDescent="0.25">
      <c r="A319" t="s">
        <v>745</v>
      </c>
      <c r="B319" t="s">
        <v>765</v>
      </c>
      <c r="C319" t="s">
        <v>766</v>
      </c>
      <c r="D319" t="s">
        <v>639</v>
      </c>
      <c r="E319" t="s">
        <v>767</v>
      </c>
      <c r="F319" t="s">
        <v>913</v>
      </c>
    </row>
    <row r="320" spans="1:6" x14ac:dyDescent="0.25">
      <c r="A320" t="s">
        <v>745</v>
      </c>
      <c r="B320" t="s">
        <v>765</v>
      </c>
      <c r="C320" t="s">
        <v>770</v>
      </c>
      <c r="D320" t="s">
        <v>641</v>
      </c>
      <c r="E320" t="s">
        <v>33</v>
      </c>
      <c r="F320" t="s">
        <v>914</v>
      </c>
    </row>
    <row r="321" spans="1:6" x14ac:dyDescent="0.25">
      <c r="A321" t="s">
        <v>745</v>
      </c>
      <c r="B321" t="s">
        <v>765</v>
      </c>
      <c r="C321" t="s">
        <v>766</v>
      </c>
      <c r="D321" t="s">
        <v>641</v>
      </c>
      <c r="E321" t="s">
        <v>767</v>
      </c>
      <c r="F321" t="s">
        <v>914</v>
      </c>
    </row>
    <row r="322" spans="1:6" x14ac:dyDescent="0.25">
      <c r="A322" t="s">
        <v>745</v>
      </c>
      <c r="B322" t="s">
        <v>765</v>
      </c>
      <c r="C322" t="s">
        <v>766</v>
      </c>
      <c r="D322" t="s">
        <v>642</v>
      </c>
      <c r="E322" t="s">
        <v>767</v>
      </c>
      <c r="F322" t="s">
        <v>915</v>
      </c>
    </row>
    <row r="323" spans="1:6" x14ac:dyDescent="0.25">
      <c r="A323" t="s">
        <v>745</v>
      </c>
      <c r="B323" t="s">
        <v>765</v>
      </c>
      <c r="C323" t="s">
        <v>766</v>
      </c>
      <c r="D323" t="s">
        <v>644</v>
      </c>
      <c r="E323" t="s">
        <v>767</v>
      </c>
      <c r="F323" t="s">
        <v>916</v>
      </c>
    </row>
    <row r="324" spans="1:6" x14ac:dyDescent="0.25">
      <c r="A324" t="s">
        <v>745</v>
      </c>
      <c r="B324" t="s">
        <v>765</v>
      </c>
      <c r="C324" t="s">
        <v>770</v>
      </c>
      <c r="D324" t="s">
        <v>646</v>
      </c>
      <c r="E324" t="s">
        <v>33</v>
      </c>
      <c r="F324" t="s">
        <v>917</v>
      </c>
    </row>
    <row r="325" spans="1:6" x14ac:dyDescent="0.25">
      <c r="A325" t="s">
        <v>745</v>
      </c>
      <c r="B325" t="s">
        <v>765</v>
      </c>
      <c r="C325" t="s">
        <v>766</v>
      </c>
      <c r="D325" t="s">
        <v>646</v>
      </c>
      <c r="E325" t="s">
        <v>767</v>
      </c>
      <c r="F325" t="s">
        <v>917</v>
      </c>
    </row>
    <row r="326" spans="1:6" x14ac:dyDescent="0.25">
      <c r="A326" t="s">
        <v>745</v>
      </c>
      <c r="B326" t="s">
        <v>765</v>
      </c>
      <c r="C326" t="s">
        <v>766</v>
      </c>
      <c r="D326" t="s">
        <v>648</v>
      </c>
      <c r="E326" t="s">
        <v>767</v>
      </c>
      <c r="F326" t="s">
        <v>918</v>
      </c>
    </row>
    <row r="327" spans="1:6" x14ac:dyDescent="0.25">
      <c r="A327" t="s">
        <v>745</v>
      </c>
      <c r="B327" t="s">
        <v>765</v>
      </c>
      <c r="C327" t="s">
        <v>766</v>
      </c>
      <c r="D327" t="s">
        <v>650</v>
      </c>
      <c r="E327" t="s">
        <v>767</v>
      </c>
      <c r="F327" t="s">
        <v>919</v>
      </c>
    </row>
    <row r="328" spans="1:6" x14ac:dyDescent="0.25">
      <c r="A328" t="s">
        <v>755</v>
      </c>
      <c r="B328" t="s">
        <v>765</v>
      </c>
      <c r="C328" t="s">
        <v>769</v>
      </c>
      <c r="D328" t="s">
        <v>652</v>
      </c>
      <c r="E328" t="s">
        <v>920</v>
      </c>
      <c r="F328" t="s">
        <v>921</v>
      </c>
    </row>
    <row r="329" spans="1:6" x14ac:dyDescent="0.25">
      <c r="A329" t="s">
        <v>745</v>
      </c>
      <c r="B329" t="s">
        <v>765</v>
      </c>
      <c r="C329" t="s">
        <v>766</v>
      </c>
      <c r="D329" t="s">
        <v>652</v>
      </c>
      <c r="E329" t="s">
        <v>767</v>
      </c>
      <c r="F329" t="s">
        <v>921</v>
      </c>
    </row>
    <row r="330" spans="1:6" x14ac:dyDescent="0.25">
      <c r="A330" t="s">
        <v>745</v>
      </c>
      <c r="B330" t="s">
        <v>765</v>
      </c>
      <c r="C330" t="s">
        <v>766</v>
      </c>
      <c r="D330" t="s">
        <v>654</v>
      </c>
      <c r="E330" t="s">
        <v>767</v>
      </c>
      <c r="F330" t="s">
        <v>922</v>
      </c>
    </row>
    <row r="331" spans="1:6" x14ac:dyDescent="0.25">
      <c r="A331" t="s">
        <v>745</v>
      </c>
      <c r="B331" t="s">
        <v>765</v>
      </c>
      <c r="C331" t="s">
        <v>766</v>
      </c>
      <c r="D331" t="s">
        <v>656</v>
      </c>
      <c r="E331" t="s">
        <v>767</v>
      </c>
      <c r="F331" t="s">
        <v>923</v>
      </c>
    </row>
    <row r="332" spans="1:6" x14ac:dyDescent="0.25">
      <c r="A332" t="s">
        <v>745</v>
      </c>
      <c r="B332" t="s">
        <v>765</v>
      </c>
      <c r="C332" t="s">
        <v>766</v>
      </c>
      <c r="D332" t="s">
        <v>658</v>
      </c>
      <c r="E332" t="s">
        <v>767</v>
      </c>
      <c r="F332" t="s">
        <v>924</v>
      </c>
    </row>
    <row r="333" spans="1:6" x14ac:dyDescent="0.25">
      <c r="A333" t="s">
        <v>745</v>
      </c>
      <c r="B333" t="s">
        <v>765</v>
      </c>
      <c r="C333" t="s">
        <v>770</v>
      </c>
      <c r="D333" t="s">
        <v>661</v>
      </c>
      <c r="E333" t="s">
        <v>412</v>
      </c>
      <c r="F333" t="s">
        <v>925</v>
      </c>
    </row>
    <row r="334" spans="1:6" x14ac:dyDescent="0.25">
      <c r="A334" t="s">
        <v>745</v>
      </c>
      <c r="B334" t="s">
        <v>765</v>
      </c>
      <c r="C334" t="s">
        <v>766</v>
      </c>
      <c r="D334" t="s">
        <v>661</v>
      </c>
      <c r="E334" t="s">
        <v>767</v>
      </c>
      <c r="F334" t="s">
        <v>925</v>
      </c>
    </row>
    <row r="335" spans="1:6" x14ac:dyDescent="0.25">
      <c r="A335" t="s">
        <v>745</v>
      </c>
      <c r="B335" t="s">
        <v>765</v>
      </c>
      <c r="C335" t="s">
        <v>770</v>
      </c>
      <c r="D335" t="s">
        <v>664</v>
      </c>
      <c r="E335" t="s">
        <v>412</v>
      </c>
      <c r="F335" t="s">
        <v>926</v>
      </c>
    </row>
    <row r="336" spans="1:6" x14ac:dyDescent="0.25">
      <c r="A336" t="s">
        <v>745</v>
      </c>
      <c r="B336" t="s">
        <v>765</v>
      </c>
      <c r="C336" t="s">
        <v>766</v>
      </c>
      <c r="D336" t="s">
        <v>664</v>
      </c>
      <c r="E336" t="s">
        <v>767</v>
      </c>
      <c r="F336" t="s">
        <v>926</v>
      </c>
    </row>
    <row r="337" spans="1:6" x14ac:dyDescent="0.25">
      <c r="A337" t="s">
        <v>745</v>
      </c>
      <c r="B337" t="s">
        <v>765</v>
      </c>
      <c r="C337" t="s">
        <v>770</v>
      </c>
      <c r="D337" t="s">
        <v>666</v>
      </c>
      <c r="E337" t="s">
        <v>412</v>
      </c>
      <c r="F337" t="s">
        <v>927</v>
      </c>
    </row>
    <row r="338" spans="1:6" x14ac:dyDescent="0.25">
      <c r="A338" t="s">
        <v>745</v>
      </c>
      <c r="B338" t="s">
        <v>765</v>
      </c>
      <c r="C338" t="s">
        <v>766</v>
      </c>
      <c r="D338" t="s">
        <v>666</v>
      </c>
      <c r="E338" t="s">
        <v>767</v>
      </c>
      <c r="F338" t="s">
        <v>927</v>
      </c>
    </row>
    <row r="339" spans="1:6" x14ac:dyDescent="0.25">
      <c r="A339" t="s">
        <v>745</v>
      </c>
      <c r="B339" t="s">
        <v>765</v>
      </c>
      <c r="C339" t="s">
        <v>770</v>
      </c>
      <c r="D339" t="s">
        <v>668</v>
      </c>
      <c r="E339" t="s">
        <v>412</v>
      </c>
      <c r="F339" t="s">
        <v>928</v>
      </c>
    </row>
    <row r="340" spans="1:6" x14ac:dyDescent="0.25">
      <c r="A340" t="s">
        <v>745</v>
      </c>
      <c r="B340" t="s">
        <v>765</v>
      </c>
      <c r="C340" t="s">
        <v>766</v>
      </c>
      <c r="D340" t="s">
        <v>668</v>
      </c>
      <c r="E340" t="s">
        <v>767</v>
      </c>
      <c r="F340" t="s">
        <v>928</v>
      </c>
    </row>
    <row r="341" spans="1:6" x14ac:dyDescent="0.25">
      <c r="A341" t="s">
        <v>745</v>
      </c>
      <c r="B341" t="s">
        <v>765</v>
      </c>
      <c r="C341" t="s">
        <v>770</v>
      </c>
      <c r="D341" t="s">
        <v>671</v>
      </c>
      <c r="E341" t="s">
        <v>412</v>
      </c>
      <c r="F341" t="s">
        <v>929</v>
      </c>
    </row>
    <row r="342" spans="1:6" x14ac:dyDescent="0.25">
      <c r="A342" t="s">
        <v>745</v>
      </c>
      <c r="B342" t="s">
        <v>765</v>
      </c>
      <c r="C342" t="s">
        <v>766</v>
      </c>
      <c r="D342" t="s">
        <v>671</v>
      </c>
      <c r="E342" t="s">
        <v>767</v>
      </c>
      <c r="F342" t="s">
        <v>929</v>
      </c>
    </row>
    <row r="343" spans="1:6" x14ac:dyDescent="0.25">
      <c r="A343" t="s">
        <v>745</v>
      </c>
      <c r="B343" t="s">
        <v>765</v>
      </c>
      <c r="C343" t="s">
        <v>770</v>
      </c>
      <c r="D343" t="s">
        <v>676</v>
      </c>
      <c r="E343" t="s">
        <v>412</v>
      </c>
      <c r="F343" t="s">
        <v>930</v>
      </c>
    </row>
    <row r="344" spans="1:6" x14ac:dyDescent="0.25">
      <c r="A344" t="s">
        <v>745</v>
      </c>
      <c r="B344" t="s">
        <v>765</v>
      </c>
      <c r="C344" t="s">
        <v>766</v>
      </c>
      <c r="D344" t="s">
        <v>676</v>
      </c>
      <c r="E344" t="s">
        <v>767</v>
      </c>
      <c r="F344" t="s">
        <v>930</v>
      </c>
    </row>
    <row r="345" spans="1:6" x14ac:dyDescent="0.25">
      <c r="A345" t="s">
        <v>745</v>
      </c>
      <c r="B345" t="s">
        <v>765</v>
      </c>
      <c r="C345" t="s">
        <v>770</v>
      </c>
      <c r="D345" t="s">
        <v>678</v>
      </c>
      <c r="E345" t="s">
        <v>412</v>
      </c>
      <c r="F345" t="s">
        <v>931</v>
      </c>
    </row>
    <row r="346" spans="1:6" x14ac:dyDescent="0.25">
      <c r="A346" t="s">
        <v>745</v>
      </c>
      <c r="B346" t="s">
        <v>765</v>
      </c>
      <c r="C346" t="s">
        <v>766</v>
      </c>
      <c r="D346" t="s">
        <v>678</v>
      </c>
      <c r="E346" t="s">
        <v>767</v>
      </c>
      <c r="F346" t="s">
        <v>931</v>
      </c>
    </row>
    <row r="347" spans="1:6" x14ac:dyDescent="0.25">
      <c r="A347" t="s">
        <v>745</v>
      </c>
      <c r="B347" t="s">
        <v>765</v>
      </c>
      <c r="C347" t="s">
        <v>770</v>
      </c>
      <c r="D347" t="s">
        <v>680</v>
      </c>
      <c r="E347" t="s">
        <v>412</v>
      </c>
      <c r="F347" t="s">
        <v>932</v>
      </c>
    </row>
    <row r="348" spans="1:6" x14ac:dyDescent="0.25">
      <c r="A348" t="s">
        <v>745</v>
      </c>
      <c r="B348" t="s">
        <v>765</v>
      </c>
      <c r="C348" t="s">
        <v>766</v>
      </c>
      <c r="D348" t="s">
        <v>680</v>
      </c>
      <c r="E348" t="s">
        <v>767</v>
      </c>
      <c r="F348" t="s">
        <v>932</v>
      </c>
    </row>
    <row r="349" spans="1:6" x14ac:dyDescent="0.25">
      <c r="A349" t="s">
        <v>745</v>
      </c>
      <c r="B349" t="s">
        <v>765</v>
      </c>
      <c r="C349" t="s">
        <v>770</v>
      </c>
      <c r="D349" t="s">
        <v>682</v>
      </c>
      <c r="E349" t="s">
        <v>412</v>
      </c>
      <c r="F349" t="s">
        <v>933</v>
      </c>
    </row>
    <row r="350" spans="1:6" x14ac:dyDescent="0.25">
      <c r="A350" t="s">
        <v>745</v>
      </c>
      <c r="B350" t="s">
        <v>765</v>
      </c>
      <c r="C350" t="s">
        <v>766</v>
      </c>
      <c r="D350" t="s">
        <v>682</v>
      </c>
      <c r="E350" t="s">
        <v>767</v>
      </c>
      <c r="F350" t="s">
        <v>933</v>
      </c>
    </row>
    <row r="351" spans="1:6" x14ac:dyDescent="0.25">
      <c r="A351" t="s">
        <v>745</v>
      </c>
      <c r="B351" t="s">
        <v>765</v>
      </c>
      <c r="C351" t="s">
        <v>770</v>
      </c>
      <c r="D351" t="s">
        <v>934</v>
      </c>
      <c r="E351" t="s">
        <v>412</v>
      </c>
      <c r="F351" t="s">
        <v>413</v>
      </c>
    </row>
    <row r="352" spans="1:6" x14ac:dyDescent="0.25">
      <c r="A352" t="s">
        <v>745</v>
      </c>
      <c r="B352" t="s">
        <v>765</v>
      </c>
      <c r="C352" t="s">
        <v>770</v>
      </c>
      <c r="D352" t="s">
        <v>684</v>
      </c>
      <c r="E352" t="s">
        <v>412</v>
      </c>
      <c r="F352" t="s">
        <v>935</v>
      </c>
    </row>
    <row r="353" spans="1:6" x14ac:dyDescent="0.25">
      <c r="A353" t="s">
        <v>745</v>
      </c>
      <c r="B353" t="s">
        <v>765</v>
      </c>
      <c r="C353" t="s">
        <v>766</v>
      </c>
      <c r="D353" t="s">
        <v>684</v>
      </c>
      <c r="E353" t="s">
        <v>767</v>
      </c>
      <c r="F353" t="s">
        <v>935</v>
      </c>
    </row>
    <row r="354" spans="1:6" x14ac:dyDescent="0.25">
      <c r="A354" t="s">
        <v>745</v>
      </c>
      <c r="B354" t="s">
        <v>765</v>
      </c>
      <c r="C354" t="s">
        <v>770</v>
      </c>
      <c r="D354" t="s">
        <v>686</v>
      </c>
      <c r="E354" t="s">
        <v>412</v>
      </c>
      <c r="F354" t="s">
        <v>936</v>
      </c>
    </row>
    <row r="355" spans="1:6" x14ac:dyDescent="0.25">
      <c r="A355" t="s">
        <v>745</v>
      </c>
      <c r="B355" t="s">
        <v>765</v>
      </c>
      <c r="C355" t="s">
        <v>766</v>
      </c>
      <c r="D355" t="s">
        <v>686</v>
      </c>
      <c r="E355" t="s">
        <v>767</v>
      </c>
      <c r="F355" t="s">
        <v>936</v>
      </c>
    </row>
    <row r="356" spans="1:6" x14ac:dyDescent="0.25">
      <c r="A356" t="s">
        <v>745</v>
      </c>
      <c r="B356" t="s">
        <v>765</v>
      </c>
      <c r="C356" t="s">
        <v>770</v>
      </c>
      <c r="D356" t="s">
        <v>688</v>
      </c>
      <c r="E356" t="s">
        <v>412</v>
      </c>
      <c r="F356" t="s">
        <v>937</v>
      </c>
    </row>
    <row r="357" spans="1:6" x14ac:dyDescent="0.25">
      <c r="A357" t="s">
        <v>745</v>
      </c>
      <c r="B357" t="s">
        <v>765</v>
      </c>
      <c r="C357" t="s">
        <v>766</v>
      </c>
      <c r="D357" t="s">
        <v>688</v>
      </c>
      <c r="E357" t="s">
        <v>767</v>
      </c>
      <c r="F357" t="s">
        <v>937</v>
      </c>
    </row>
    <row r="358" spans="1:6" x14ac:dyDescent="0.25">
      <c r="A358" t="s">
        <v>745</v>
      </c>
      <c r="B358" t="s">
        <v>765</v>
      </c>
      <c r="C358" t="s">
        <v>770</v>
      </c>
      <c r="D358" t="s">
        <v>690</v>
      </c>
      <c r="E358" t="s">
        <v>412</v>
      </c>
      <c r="F358" t="s">
        <v>938</v>
      </c>
    </row>
    <row r="359" spans="1:6" x14ac:dyDescent="0.25">
      <c r="A359" t="s">
        <v>745</v>
      </c>
      <c r="B359" t="s">
        <v>765</v>
      </c>
      <c r="C359" t="s">
        <v>766</v>
      </c>
      <c r="D359" t="s">
        <v>690</v>
      </c>
      <c r="E359" t="s">
        <v>767</v>
      </c>
      <c r="F359" t="s">
        <v>938</v>
      </c>
    </row>
    <row r="360" spans="1:6" x14ac:dyDescent="0.25">
      <c r="A360" t="s">
        <v>745</v>
      </c>
      <c r="B360" t="s">
        <v>765</v>
      </c>
      <c r="C360" t="s">
        <v>770</v>
      </c>
      <c r="D360" t="s">
        <v>692</v>
      </c>
      <c r="E360" t="s">
        <v>412</v>
      </c>
      <c r="F360" t="s">
        <v>939</v>
      </c>
    </row>
    <row r="361" spans="1:6" x14ac:dyDescent="0.25">
      <c r="A361" t="s">
        <v>745</v>
      </c>
      <c r="B361" t="s">
        <v>765</v>
      </c>
      <c r="C361" t="s">
        <v>766</v>
      </c>
      <c r="D361" t="s">
        <v>692</v>
      </c>
      <c r="E361" t="s">
        <v>767</v>
      </c>
      <c r="F361" t="s">
        <v>939</v>
      </c>
    </row>
    <row r="362" spans="1:6" x14ac:dyDescent="0.25">
      <c r="A362" t="s">
        <v>745</v>
      </c>
      <c r="B362" t="s">
        <v>765</v>
      </c>
      <c r="C362" t="s">
        <v>770</v>
      </c>
      <c r="D362" t="s">
        <v>414</v>
      </c>
      <c r="E362" t="s">
        <v>412</v>
      </c>
      <c r="F362" t="s">
        <v>416</v>
      </c>
    </row>
    <row r="363" spans="1:6" x14ac:dyDescent="0.25">
      <c r="A363" t="s">
        <v>745</v>
      </c>
      <c r="B363" t="s">
        <v>765</v>
      </c>
      <c r="C363" t="s">
        <v>770</v>
      </c>
      <c r="D363" t="s">
        <v>695</v>
      </c>
      <c r="E363" t="s">
        <v>412</v>
      </c>
      <c r="F363" t="s">
        <v>940</v>
      </c>
    </row>
    <row r="364" spans="1:6" x14ac:dyDescent="0.25">
      <c r="A364" t="s">
        <v>745</v>
      </c>
      <c r="B364" t="s">
        <v>765</v>
      </c>
      <c r="C364" t="s">
        <v>766</v>
      </c>
      <c r="D364" t="s">
        <v>695</v>
      </c>
      <c r="E364" t="s">
        <v>767</v>
      </c>
      <c r="F364" t="s">
        <v>940</v>
      </c>
    </row>
    <row r="365" spans="1:6" x14ac:dyDescent="0.25">
      <c r="A365" t="s">
        <v>745</v>
      </c>
      <c r="B365" t="s">
        <v>765</v>
      </c>
      <c r="C365" t="s">
        <v>770</v>
      </c>
      <c r="D365" t="s">
        <v>697</v>
      </c>
      <c r="E365" t="s">
        <v>412</v>
      </c>
      <c r="F365" t="s">
        <v>941</v>
      </c>
    </row>
    <row r="366" spans="1:6" x14ac:dyDescent="0.25">
      <c r="A366" t="s">
        <v>745</v>
      </c>
      <c r="B366" t="s">
        <v>765</v>
      </c>
      <c r="C366" t="s">
        <v>766</v>
      </c>
      <c r="D366" t="s">
        <v>697</v>
      </c>
      <c r="E366" t="s">
        <v>767</v>
      </c>
      <c r="F366" t="s">
        <v>941</v>
      </c>
    </row>
    <row r="367" spans="1:6" x14ac:dyDescent="0.25">
      <c r="A367" t="s">
        <v>745</v>
      </c>
      <c r="B367" t="s">
        <v>765</v>
      </c>
      <c r="C367" t="s">
        <v>770</v>
      </c>
      <c r="D367" t="s">
        <v>699</v>
      </c>
      <c r="E367" t="s">
        <v>412</v>
      </c>
      <c r="F367" t="s">
        <v>942</v>
      </c>
    </row>
    <row r="368" spans="1:6" x14ac:dyDescent="0.25">
      <c r="A368" t="s">
        <v>745</v>
      </c>
      <c r="B368" t="s">
        <v>765</v>
      </c>
      <c r="C368" t="s">
        <v>766</v>
      </c>
      <c r="D368" t="s">
        <v>699</v>
      </c>
      <c r="E368" t="s">
        <v>767</v>
      </c>
      <c r="F368" t="s">
        <v>942</v>
      </c>
    </row>
    <row r="369" spans="1:6" x14ac:dyDescent="0.25">
      <c r="A369" t="s">
        <v>745</v>
      </c>
      <c r="B369" t="s">
        <v>765</v>
      </c>
      <c r="C369" t="s">
        <v>770</v>
      </c>
      <c r="D369" t="s">
        <v>702</v>
      </c>
      <c r="E369" t="s">
        <v>412</v>
      </c>
      <c r="F369" t="s">
        <v>943</v>
      </c>
    </row>
    <row r="370" spans="1:6" x14ac:dyDescent="0.25">
      <c r="A370" t="s">
        <v>745</v>
      </c>
      <c r="B370" t="s">
        <v>765</v>
      </c>
      <c r="C370" t="s">
        <v>766</v>
      </c>
      <c r="D370" t="s">
        <v>702</v>
      </c>
      <c r="E370" t="s">
        <v>767</v>
      </c>
      <c r="F370" t="s">
        <v>943</v>
      </c>
    </row>
    <row r="371" spans="1:6" x14ac:dyDescent="0.25">
      <c r="A371" t="s">
        <v>745</v>
      </c>
      <c r="B371" t="s">
        <v>765</v>
      </c>
      <c r="C371" t="s">
        <v>770</v>
      </c>
      <c r="D371" t="s">
        <v>704</v>
      </c>
      <c r="E371" t="s">
        <v>412</v>
      </c>
      <c r="F371" t="s">
        <v>944</v>
      </c>
    </row>
    <row r="372" spans="1:6" x14ac:dyDescent="0.25">
      <c r="A372" t="s">
        <v>745</v>
      </c>
      <c r="B372" t="s">
        <v>765</v>
      </c>
      <c r="C372" t="s">
        <v>766</v>
      </c>
      <c r="D372" t="s">
        <v>704</v>
      </c>
      <c r="E372" t="s">
        <v>767</v>
      </c>
      <c r="F372" t="s">
        <v>944</v>
      </c>
    </row>
    <row r="373" spans="1:6" x14ac:dyDescent="0.25">
      <c r="A373" t="s">
        <v>745</v>
      </c>
      <c r="B373" t="s">
        <v>765</v>
      </c>
      <c r="C373" t="s">
        <v>770</v>
      </c>
      <c r="D373" t="s">
        <v>705</v>
      </c>
      <c r="E373" t="s">
        <v>412</v>
      </c>
      <c r="F373" t="s">
        <v>945</v>
      </c>
    </row>
    <row r="374" spans="1:6" x14ac:dyDescent="0.25">
      <c r="A374" t="s">
        <v>745</v>
      </c>
      <c r="B374" t="s">
        <v>765</v>
      </c>
      <c r="C374" t="s">
        <v>766</v>
      </c>
      <c r="D374" t="s">
        <v>705</v>
      </c>
      <c r="E374" t="s">
        <v>767</v>
      </c>
      <c r="F374" t="s">
        <v>945</v>
      </c>
    </row>
    <row r="375" spans="1:6" x14ac:dyDescent="0.25">
      <c r="A375" t="s">
        <v>745</v>
      </c>
      <c r="B375" t="s">
        <v>765</v>
      </c>
      <c r="C375" t="s">
        <v>770</v>
      </c>
      <c r="D375" t="s">
        <v>707</v>
      </c>
      <c r="E375" t="s">
        <v>412</v>
      </c>
      <c r="F375" t="s">
        <v>946</v>
      </c>
    </row>
    <row r="376" spans="1:6" x14ac:dyDescent="0.25">
      <c r="A376" t="s">
        <v>745</v>
      </c>
      <c r="B376" t="s">
        <v>765</v>
      </c>
      <c r="C376" t="s">
        <v>766</v>
      </c>
      <c r="D376" t="s">
        <v>707</v>
      </c>
      <c r="E376" t="s">
        <v>767</v>
      </c>
      <c r="F376" t="s">
        <v>946</v>
      </c>
    </row>
    <row r="377" spans="1:6" x14ac:dyDescent="0.25">
      <c r="A377" t="s">
        <v>745</v>
      </c>
      <c r="B377" t="s">
        <v>765</v>
      </c>
      <c r="C377" t="s">
        <v>770</v>
      </c>
      <c r="D377" t="s">
        <v>709</v>
      </c>
      <c r="E377" t="s">
        <v>412</v>
      </c>
      <c r="F377" t="s">
        <v>947</v>
      </c>
    </row>
    <row r="378" spans="1:6" x14ac:dyDescent="0.25">
      <c r="A378" t="s">
        <v>745</v>
      </c>
      <c r="B378" t="s">
        <v>765</v>
      </c>
      <c r="C378" t="s">
        <v>766</v>
      </c>
      <c r="D378" t="s">
        <v>709</v>
      </c>
      <c r="E378" t="s">
        <v>767</v>
      </c>
      <c r="F378" t="s">
        <v>947</v>
      </c>
    </row>
    <row r="379" spans="1:6" x14ac:dyDescent="0.25">
      <c r="A379" t="s">
        <v>745</v>
      </c>
      <c r="B379" t="s">
        <v>765</v>
      </c>
      <c r="C379" t="s">
        <v>770</v>
      </c>
      <c r="D379" t="s">
        <v>711</v>
      </c>
      <c r="E379" t="s">
        <v>412</v>
      </c>
      <c r="F379" t="s">
        <v>948</v>
      </c>
    </row>
    <row r="380" spans="1:6" x14ac:dyDescent="0.25">
      <c r="A380" t="s">
        <v>745</v>
      </c>
      <c r="B380" t="s">
        <v>765</v>
      </c>
      <c r="C380" t="s">
        <v>766</v>
      </c>
      <c r="D380" t="s">
        <v>711</v>
      </c>
      <c r="E380" t="s">
        <v>767</v>
      </c>
      <c r="F380" t="s">
        <v>948</v>
      </c>
    </row>
    <row r="381" spans="1:6" x14ac:dyDescent="0.25">
      <c r="A381" t="s">
        <v>745</v>
      </c>
      <c r="B381" t="s">
        <v>765</v>
      </c>
      <c r="C381" t="s">
        <v>770</v>
      </c>
      <c r="D381" t="s">
        <v>713</v>
      </c>
      <c r="E381" t="s">
        <v>412</v>
      </c>
      <c r="F381" t="s">
        <v>949</v>
      </c>
    </row>
    <row r="382" spans="1:6" x14ac:dyDescent="0.25">
      <c r="A382" t="s">
        <v>745</v>
      </c>
      <c r="B382" t="s">
        <v>765</v>
      </c>
      <c r="C382" t="s">
        <v>766</v>
      </c>
      <c r="D382" t="s">
        <v>713</v>
      </c>
      <c r="E382" t="s">
        <v>767</v>
      </c>
      <c r="F382" t="s">
        <v>949</v>
      </c>
    </row>
    <row r="383" spans="1:6" x14ac:dyDescent="0.25">
      <c r="A383" t="s">
        <v>745</v>
      </c>
      <c r="B383" t="s">
        <v>765</v>
      </c>
      <c r="C383" t="s">
        <v>770</v>
      </c>
      <c r="D383" t="s">
        <v>715</v>
      </c>
      <c r="E383" t="s">
        <v>412</v>
      </c>
      <c r="F383" t="s">
        <v>950</v>
      </c>
    </row>
    <row r="384" spans="1:6" x14ac:dyDescent="0.25">
      <c r="A384" t="s">
        <v>745</v>
      </c>
      <c r="B384" t="s">
        <v>765</v>
      </c>
      <c r="C384" t="s">
        <v>766</v>
      </c>
      <c r="D384" t="s">
        <v>715</v>
      </c>
      <c r="E384" t="s">
        <v>767</v>
      </c>
      <c r="F384" t="s">
        <v>950</v>
      </c>
    </row>
    <row r="385" spans="1:6" x14ac:dyDescent="0.25">
      <c r="A385" t="s">
        <v>745</v>
      </c>
      <c r="B385" t="s">
        <v>765</v>
      </c>
      <c r="C385" t="s">
        <v>770</v>
      </c>
      <c r="D385" t="s">
        <v>716</v>
      </c>
      <c r="E385" t="s">
        <v>412</v>
      </c>
      <c r="F385" t="s">
        <v>951</v>
      </c>
    </row>
    <row r="386" spans="1:6" x14ac:dyDescent="0.25">
      <c r="A386" t="s">
        <v>745</v>
      </c>
      <c r="B386" t="s">
        <v>765</v>
      </c>
      <c r="C386" t="s">
        <v>766</v>
      </c>
      <c r="D386" t="s">
        <v>716</v>
      </c>
      <c r="E386" t="s">
        <v>767</v>
      </c>
      <c r="F386" t="s">
        <v>951</v>
      </c>
    </row>
    <row r="387" spans="1:6" x14ac:dyDescent="0.25">
      <c r="A387" t="s">
        <v>745</v>
      </c>
      <c r="B387" t="s">
        <v>765</v>
      </c>
      <c r="C387" t="s">
        <v>770</v>
      </c>
      <c r="D387" t="s">
        <v>717</v>
      </c>
      <c r="E387" t="s">
        <v>412</v>
      </c>
      <c r="F387" t="s">
        <v>952</v>
      </c>
    </row>
    <row r="388" spans="1:6" x14ac:dyDescent="0.25">
      <c r="A388" t="s">
        <v>745</v>
      </c>
      <c r="B388" t="s">
        <v>765</v>
      </c>
      <c r="C388" t="s">
        <v>766</v>
      </c>
      <c r="D388" t="s">
        <v>717</v>
      </c>
      <c r="E388" t="s">
        <v>767</v>
      </c>
      <c r="F388" t="s">
        <v>952</v>
      </c>
    </row>
    <row r="389" spans="1:6" x14ac:dyDescent="0.25">
      <c r="A389" t="s">
        <v>745</v>
      </c>
      <c r="B389" t="s">
        <v>765</v>
      </c>
      <c r="C389" t="s">
        <v>770</v>
      </c>
      <c r="D389" t="s">
        <v>719</v>
      </c>
      <c r="E389" t="s">
        <v>412</v>
      </c>
      <c r="F389" t="s">
        <v>953</v>
      </c>
    </row>
    <row r="390" spans="1:6" x14ac:dyDescent="0.25">
      <c r="A390" t="s">
        <v>745</v>
      </c>
      <c r="B390" t="s">
        <v>765</v>
      </c>
      <c r="C390" t="s">
        <v>766</v>
      </c>
      <c r="D390" t="s">
        <v>719</v>
      </c>
      <c r="E390" t="s">
        <v>767</v>
      </c>
      <c r="F390" t="s">
        <v>953</v>
      </c>
    </row>
    <row r="391" spans="1:6" x14ac:dyDescent="0.25">
      <c r="A391" t="s">
        <v>745</v>
      </c>
      <c r="B391" t="s">
        <v>765</v>
      </c>
      <c r="C391" t="s">
        <v>770</v>
      </c>
      <c r="D391" t="s">
        <v>721</v>
      </c>
      <c r="E391" t="s">
        <v>412</v>
      </c>
      <c r="F391" t="s">
        <v>954</v>
      </c>
    </row>
    <row r="392" spans="1:6" x14ac:dyDescent="0.25">
      <c r="A392" t="s">
        <v>745</v>
      </c>
      <c r="B392" t="s">
        <v>765</v>
      </c>
      <c r="C392" t="s">
        <v>766</v>
      </c>
      <c r="D392" t="s">
        <v>721</v>
      </c>
      <c r="E392" t="s">
        <v>767</v>
      </c>
      <c r="F392" t="s">
        <v>954</v>
      </c>
    </row>
    <row r="393" spans="1:6" x14ac:dyDescent="0.25">
      <c r="A393" t="s">
        <v>745</v>
      </c>
      <c r="B393" t="s">
        <v>765</v>
      </c>
      <c r="C393" t="s">
        <v>770</v>
      </c>
      <c r="D393" t="s">
        <v>722</v>
      </c>
      <c r="E393" t="s">
        <v>412</v>
      </c>
      <c r="F393" t="s">
        <v>955</v>
      </c>
    </row>
    <row r="394" spans="1:6" x14ac:dyDescent="0.25">
      <c r="A394" t="s">
        <v>745</v>
      </c>
      <c r="B394" t="s">
        <v>765</v>
      </c>
      <c r="C394" t="s">
        <v>766</v>
      </c>
      <c r="D394" t="s">
        <v>722</v>
      </c>
      <c r="E394" t="s">
        <v>767</v>
      </c>
      <c r="F394" t="s">
        <v>955</v>
      </c>
    </row>
    <row r="395" spans="1:6" x14ac:dyDescent="0.25">
      <c r="A395" t="s">
        <v>745</v>
      </c>
      <c r="B395" t="s">
        <v>765</v>
      </c>
      <c r="C395" t="s">
        <v>770</v>
      </c>
      <c r="D395" t="s">
        <v>723</v>
      </c>
      <c r="E395" t="s">
        <v>412</v>
      </c>
      <c r="F395" t="s">
        <v>956</v>
      </c>
    </row>
    <row r="396" spans="1:6" x14ac:dyDescent="0.25">
      <c r="A396" t="s">
        <v>745</v>
      </c>
      <c r="B396" t="s">
        <v>765</v>
      </c>
      <c r="C396" t="s">
        <v>766</v>
      </c>
      <c r="D396" t="s">
        <v>723</v>
      </c>
      <c r="E396" t="s">
        <v>767</v>
      </c>
      <c r="F396" t="s">
        <v>956</v>
      </c>
    </row>
    <row r="397" spans="1:6" x14ac:dyDescent="0.25">
      <c r="A397" t="s">
        <v>745</v>
      </c>
      <c r="B397" t="s">
        <v>765</v>
      </c>
      <c r="C397" t="s">
        <v>770</v>
      </c>
      <c r="D397" t="s">
        <v>725</v>
      </c>
      <c r="E397" t="s">
        <v>412</v>
      </c>
      <c r="F397" t="s">
        <v>957</v>
      </c>
    </row>
    <row r="398" spans="1:6" x14ac:dyDescent="0.25">
      <c r="A398" t="s">
        <v>745</v>
      </c>
      <c r="B398" t="s">
        <v>765</v>
      </c>
      <c r="C398" t="s">
        <v>766</v>
      </c>
      <c r="D398" t="s">
        <v>725</v>
      </c>
      <c r="E398" t="s">
        <v>767</v>
      </c>
      <c r="F398" t="s">
        <v>957</v>
      </c>
    </row>
    <row r="399" spans="1:6" x14ac:dyDescent="0.25">
      <c r="A399" t="s">
        <v>745</v>
      </c>
      <c r="B399" t="s">
        <v>765</v>
      </c>
      <c r="C399" t="s">
        <v>770</v>
      </c>
      <c r="D399" t="s">
        <v>726</v>
      </c>
      <c r="E399" t="s">
        <v>412</v>
      </c>
      <c r="F399" t="s">
        <v>958</v>
      </c>
    </row>
    <row r="400" spans="1:6" x14ac:dyDescent="0.25">
      <c r="A400" t="s">
        <v>745</v>
      </c>
      <c r="B400" t="s">
        <v>765</v>
      </c>
      <c r="C400" t="s">
        <v>766</v>
      </c>
      <c r="D400" t="s">
        <v>726</v>
      </c>
      <c r="E400" t="s">
        <v>767</v>
      </c>
      <c r="F400" t="s">
        <v>958</v>
      </c>
    </row>
    <row r="401" spans="1:6" x14ac:dyDescent="0.25">
      <c r="A401" t="s">
        <v>745</v>
      </c>
      <c r="B401" t="s">
        <v>765</v>
      </c>
      <c r="C401" t="s">
        <v>770</v>
      </c>
      <c r="D401" t="s">
        <v>728</v>
      </c>
      <c r="E401" t="s">
        <v>412</v>
      </c>
      <c r="F401" t="s">
        <v>959</v>
      </c>
    </row>
    <row r="402" spans="1:6" x14ac:dyDescent="0.25">
      <c r="A402" t="s">
        <v>745</v>
      </c>
      <c r="B402" t="s">
        <v>765</v>
      </c>
      <c r="C402" t="s">
        <v>766</v>
      </c>
      <c r="D402" t="s">
        <v>728</v>
      </c>
      <c r="E402" t="s">
        <v>767</v>
      </c>
      <c r="F402" t="s">
        <v>959</v>
      </c>
    </row>
    <row r="403" spans="1:6" x14ac:dyDescent="0.25">
      <c r="A403" t="s">
        <v>745</v>
      </c>
      <c r="B403" t="s">
        <v>765</v>
      </c>
      <c r="C403" t="s">
        <v>770</v>
      </c>
      <c r="D403" t="s">
        <v>731</v>
      </c>
      <c r="E403" t="s">
        <v>412</v>
      </c>
      <c r="F403" t="s">
        <v>960</v>
      </c>
    </row>
    <row r="404" spans="1:6" x14ac:dyDescent="0.25">
      <c r="A404" t="s">
        <v>745</v>
      </c>
      <c r="B404" t="s">
        <v>765</v>
      </c>
      <c r="C404" t="s">
        <v>766</v>
      </c>
      <c r="D404" t="s">
        <v>731</v>
      </c>
      <c r="E404" t="s">
        <v>767</v>
      </c>
      <c r="F404" t="s">
        <v>960</v>
      </c>
    </row>
    <row r="405" spans="1:6" x14ac:dyDescent="0.25">
      <c r="A405" t="s">
        <v>745</v>
      </c>
      <c r="B405" t="s">
        <v>765</v>
      </c>
      <c r="C405" t="s">
        <v>770</v>
      </c>
      <c r="D405" t="s">
        <v>733</v>
      </c>
      <c r="E405" t="s">
        <v>412</v>
      </c>
      <c r="F405" t="s">
        <v>961</v>
      </c>
    </row>
    <row r="406" spans="1:6" x14ac:dyDescent="0.25">
      <c r="A406" t="s">
        <v>745</v>
      </c>
      <c r="B406" t="s">
        <v>765</v>
      </c>
      <c r="C406" t="s">
        <v>766</v>
      </c>
      <c r="D406" t="s">
        <v>733</v>
      </c>
      <c r="E406" t="s">
        <v>767</v>
      </c>
      <c r="F406" t="s">
        <v>961</v>
      </c>
    </row>
    <row r="407" spans="1:6" x14ac:dyDescent="0.25">
      <c r="A407" t="s">
        <v>745</v>
      </c>
      <c r="B407" t="s">
        <v>765</v>
      </c>
      <c r="C407" t="s">
        <v>770</v>
      </c>
      <c r="D407" t="s">
        <v>735</v>
      </c>
      <c r="E407" t="s">
        <v>412</v>
      </c>
      <c r="F407" t="s">
        <v>962</v>
      </c>
    </row>
    <row r="408" spans="1:6" x14ac:dyDescent="0.25">
      <c r="A408" t="s">
        <v>745</v>
      </c>
      <c r="B408" t="s">
        <v>765</v>
      </c>
      <c r="C408" t="s">
        <v>766</v>
      </c>
      <c r="D408" t="s">
        <v>735</v>
      </c>
      <c r="E408" t="s">
        <v>767</v>
      </c>
      <c r="F408" t="s">
        <v>962</v>
      </c>
    </row>
    <row r="409" spans="1:6" x14ac:dyDescent="0.25">
      <c r="A409" t="s">
        <v>745</v>
      </c>
      <c r="B409" t="s">
        <v>765</v>
      </c>
      <c r="C409" t="s">
        <v>770</v>
      </c>
      <c r="D409" t="s">
        <v>737</v>
      </c>
      <c r="E409" t="s">
        <v>412</v>
      </c>
      <c r="F409" t="s">
        <v>963</v>
      </c>
    </row>
    <row r="410" spans="1:6" x14ac:dyDescent="0.25">
      <c r="A410" t="s">
        <v>745</v>
      </c>
      <c r="B410" t="s">
        <v>765</v>
      </c>
      <c r="C410" t="s">
        <v>766</v>
      </c>
      <c r="D410" t="s">
        <v>737</v>
      </c>
      <c r="E410" t="s">
        <v>767</v>
      </c>
      <c r="F410" t="s">
        <v>963</v>
      </c>
    </row>
    <row r="411" spans="1:6" x14ac:dyDescent="0.25">
      <c r="A411" t="s">
        <v>964</v>
      </c>
      <c r="B411" t="s">
        <v>2</v>
      </c>
      <c r="C411" t="s">
        <v>965</v>
      </c>
      <c r="D411" t="s">
        <v>48</v>
      </c>
      <c r="E411" t="s">
        <v>966</v>
      </c>
      <c r="F411" t="s">
        <v>967</v>
      </c>
    </row>
    <row r="412" spans="1:6" x14ac:dyDescent="0.25">
      <c r="A412" t="s">
        <v>964</v>
      </c>
      <c r="B412" t="s">
        <v>2</v>
      </c>
      <c r="C412" t="s">
        <v>965</v>
      </c>
      <c r="D412" t="s">
        <v>48</v>
      </c>
      <c r="E412" t="s">
        <v>968</v>
      </c>
      <c r="F412" t="s">
        <v>967</v>
      </c>
    </row>
    <row r="413" spans="1:6" x14ac:dyDescent="0.25">
      <c r="A413" t="s">
        <v>755</v>
      </c>
      <c r="B413" t="s">
        <v>765</v>
      </c>
      <c r="C413" t="s">
        <v>969</v>
      </c>
      <c r="D413" t="s">
        <v>73</v>
      </c>
      <c r="E413" t="s">
        <v>970</v>
      </c>
      <c r="F413" t="s">
        <v>971</v>
      </c>
    </row>
    <row r="414" spans="1:6" x14ac:dyDescent="0.25">
      <c r="A414" t="s">
        <v>755</v>
      </c>
      <c r="B414" t="s">
        <v>765</v>
      </c>
      <c r="C414" t="s">
        <v>969</v>
      </c>
      <c r="D414" t="s">
        <v>75</v>
      </c>
      <c r="E414" t="s">
        <v>970</v>
      </c>
      <c r="F414" t="s">
        <v>972</v>
      </c>
    </row>
    <row r="415" spans="1:6" x14ac:dyDescent="0.25">
      <c r="A415" t="s">
        <v>755</v>
      </c>
      <c r="B415" t="s">
        <v>765</v>
      </c>
      <c r="C415" t="s">
        <v>969</v>
      </c>
      <c r="D415" t="s">
        <v>195</v>
      </c>
      <c r="E415" t="s">
        <v>970</v>
      </c>
      <c r="F415" t="s">
        <v>973</v>
      </c>
    </row>
    <row r="416" spans="1:6" x14ac:dyDescent="0.25">
      <c r="A416" t="s">
        <v>755</v>
      </c>
      <c r="B416" t="s">
        <v>765</v>
      </c>
      <c r="C416" t="s">
        <v>969</v>
      </c>
      <c r="D416" t="s">
        <v>294</v>
      </c>
      <c r="E416" t="s">
        <v>970</v>
      </c>
      <c r="F416" t="s">
        <v>974</v>
      </c>
    </row>
    <row r="417" spans="1:6" x14ac:dyDescent="0.25">
      <c r="A417" t="s">
        <v>964</v>
      </c>
      <c r="B417" t="s">
        <v>2</v>
      </c>
      <c r="C417" t="s">
        <v>965</v>
      </c>
      <c r="D417" t="s">
        <v>314</v>
      </c>
      <c r="E417" t="s">
        <v>975</v>
      </c>
      <c r="F417" t="s">
        <v>976</v>
      </c>
    </row>
    <row r="418" spans="1:6" x14ac:dyDescent="0.25">
      <c r="A418" t="s">
        <v>964</v>
      </c>
      <c r="B418" t="s">
        <v>2</v>
      </c>
      <c r="C418" t="s">
        <v>965</v>
      </c>
      <c r="D418" t="s">
        <v>314</v>
      </c>
      <c r="E418" t="s">
        <v>977</v>
      </c>
      <c r="F418" t="s">
        <v>976</v>
      </c>
    </row>
    <row r="419" spans="1:6" x14ac:dyDescent="0.25">
      <c r="A419" t="s">
        <v>755</v>
      </c>
      <c r="B419" t="s">
        <v>765</v>
      </c>
      <c r="C419" t="s">
        <v>969</v>
      </c>
      <c r="D419" t="s">
        <v>371</v>
      </c>
      <c r="E419" t="s">
        <v>970</v>
      </c>
      <c r="F419" t="s">
        <v>978</v>
      </c>
    </row>
    <row r="420" spans="1:6" x14ac:dyDescent="0.25">
      <c r="A420" t="s">
        <v>755</v>
      </c>
      <c r="B420" t="s">
        <v>765</v>
      </c>
      <c r="C420" t="s">
        <v>969</v>
      </c>
      <c r="D420" t="s">
        <v>373</v>
      </c>
      <c r="E420" t="s">
        <v>970</v>
      </c>
      <c r="F420" t="s">
        <v>979</v>
      </c>
    </row>
    <row r="421" spans="1:6" x14ac:dyDescent="0.25">
      <c r="A421" t="s">
        <v>755</v>
      </c>
      <c r="B421" t="s">
        <v>765</v>
      </c>
      <c r="C421" t="s">
        <v>969</v>
      </c>
      <c r="D421" t="s">
        <v>407</v>
      </c>
      <c r="E421" t="s">
        <v>970</v>
      </c>
      <c r="F421" t="s">
        <v>980</v>
      </c>
    </row>
    <row r="422" spans="1:6" x14ac:dyDescent="0.25">
      <c r="A422" t="s">
        <v>964</v>
      </c>
      <c r="B422" t="s">
        <v>2</v>
      </c>
      <c r="C422" t="s">
        <v>965</v>
      </c>
      <c r="D422" t="s">
        <v>411</v>
      </c>
      <c r="E422" t="s">
        <v>981</v>
      </c>
      <c r="F422" t="s">
        <v>982</v>
      </c>
    </row>
    <row r="423" spans="1:6" x14ac:dyDescent="0.25">
      <c r="A423" t="s">
        <v>964</v>
      </c>
      <c r="B423" t="s">
        <v>2</v>
      </c>
      <c r="C423" t="s">
        <v>965</v>
      </c>
      <c r="D423" t="s">
        <v>411</v>
      </c>
      <c r="E423" t="s">
        <v>983</v>
      </c>
      <c r="F423" t="s">
        <v>982</v>
      </c>
    </row>
  </sheetData>
  <autoFilter ref="A1:F42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cols>
    <col min="1" max="1" width="23.7109375" customWidth="1"/>
    <col min="2" max="2" width="62.7109375" customWidth="1"/>
    <col min="3" max="3" width="29.7109375" customWidth="1"/>
    <col min="4" max="4" width="71.7109375" customWidth="1"/>
  </cols>
  <sheetData>
    <row r="1" spans="1:4" x14ac:dyDescent="0.25">
      <c r="A1" s="1" t="s">
        <v>740</v>
      </c>
      <c r="B1" s="1" t="s">
        <v>984</v>
      </c>
      <c r="C1" s="1" t="s">
        <v>985</v>
      </c>
      <c r="D1" s="1" t="s">
        <v>986</v>
      </c>
    </row>
    <row r="2" spans="1:4" x14ac:dyDescent="0.25">
      <c r="A2" t="s">
        <v>1</v>
      </c>
      <c r="B2" t="s">
        <v>987</v>
      </c>
      <c r="C2" t="s">
        <v>988</v>
      </c>
      <c r="D2" t="s">
        <v>989</v>
      </c>
    </row>
    <row r="3" spans="1:4" x14ac:dyDescent="0.25">
      <c r="A3" t="s">
        <v>2</v>
      </c>
      <c r="B3" t="s">
        <v>990</v>
      </c>
      <c r="C3" t="s">
        <v>988</v>
      </c>
      <c r="D3" t="s">
        <v>991</v>
      </c>
    </row>
    <row r="4" spans="1:4" x14ac:dyDescent="0.25">
      <c r="A4" t="s">
        <v>992</v>
      </c>
      <c r="B4" t="s">
        <v>993</v>
      </c>
      <c r="C4" t="s">
        <v>994</v>
      </c>
      <c r="D4" t="s">
        <v>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9897-39BF-42C0-A881-60A9BE3AB7BA}">
  <dimension ref="B2:F77"/>
  <sheetViews>
    <sheetView tabSelected="1" workbookViewId="0">
      <selection activeCell="D11" sqref="D11"/>
    </sheetView>
  </sheetViews>
  <sheetFormatPr defaultRowHeight="15" x14ac:dyDescent="0.25"/>
  <cols>
    <col min="2" max="2" width="29.140625" customWidth="1"/>
    <col min="3" max="3" width="24" customWidth="1"/>
    <col min="4" max="4" width="8.7109375" bestFit="1" customWidth="1"/>
    <col min="5" max="5" width="9.42578125" bestFit="1" customWidth="1"/>
    <col min="6" max="6" width="11.28515625" bestFit="1" customWidth="1"/>
  </cols>
  <sheetData>
    <row r="2" spans="2:6" ht="18.75" x14ac:dyDescent="0.3">
      <c r="B2" s="37" t="s">
        <v>1049</v>
      </c>
      <c r="C2" s="38"/>
      <c r="F2" s="35"/>
    </row>
    <row r="3" spans="2:6" x14ac:dyDescent="0.25">
      <c r="B3" s="6"/>
      <c r="C3" s="34"/>
    </row>
    <row r="4" spans="2:6" x14ac:dyDescent="0.25">
      <c r="B4" s="6"/>
      <c r="C4" s="7"/>
    </row>
    <row r="5" spans="2:6" ht="30.75" x14ac:dyDescent="0.25">
      <c r="B5" s="8"/>
      <c r="C5" s="39" t="s">
        <v>1044</v>
      </c>
      <c r="E5" s="49"/>
    </row>
    <row r="6" spans="2:6" x14ac:dyDescent="0.25">
      <c r="B6" s="10" t="s">
        <v>996</v>
      </c>
      <c r="C6" s="40" t="s">
        <v>1041</v>
      </c>
      <c r="D6" s="9" t="s">
        <v>1043</v>
      </c>
      <c r="E6" s="50" t="s">
        <v>1</v>
      </c>
      <c r="F6" s="9" t="s">
        <v>2</v>
      </c>
    </row>
    <row r="7" spans="2:6" x14ac:dyDescent="0.25">
      <c r="B7" s="6"/>
      <c r="C7" s="41"/>
      <c r="E7" s="49"/>
    </row>
    <row r="8" spans="2:6" x14ac:dyDescent="0.25">
      <c r="B8" s="13" t="s">
        <v>997</v>
      </c>
      <c r="C8" s="42">
        <v>420404.47999999998</v>
      </c>
      <c r="D8">
        <f>E8+F8</f>
        <v>0</v>
      </c>
      <c r="E8" s="49"/>
    </row>
    <row r="9" spans="2:6" x14ac:dyDescent="0.25">
      <c r="B9" s="55" t="s">
        <v>998</v>
      </c>
      <c r="C9" s="56">
        <v>4900</v>
      </c>
      <c r="D9" s="57">
        <f t="shared" ref="D9:D19" si="0">E9+F9</f>
        <v>0</v>
      </c>
      <c r="E9" s="58"/>
      <c r="F9" s="57"/>
    </row>
    <row r="10" spans="2:6" x14ac:dyDescent="0.25">
      <c r="B10" s="14" t="s">
        <v>999</v>
      </c>
      <c r="C10" s="42">
        <v>30000</v>
      </c>
      <c r="D10">
        <f t="shared" si="0"/>
        <v>0</v>
      </c>
      <c r="E10" s="49"/>
    </row>
    <row r="11" spans="2:6" x14ac:dyDescent="0.25">
      <c r="B11" s="15"/>
      <c r="C11" s="43">
        <f>SUM(C8:C10)</f>
        <v>455304.48</v>
      </c>
      <c r="D11" s="16">
        <f t="shared" si="0"/>
        <v>0</v>
      </c>
      <c r="E11" s="51">
        <f t="shared" ref="E11:F11" si="1">SUM(E8:E10)</f>
        <v>0</v>
      </c>
      <c r="F11" s="16">
        <f t="shared" si="1"/>
        <v>0</v>
      </c>
    </row>
    <row r="12" spans="2:6" x14ac:dyDescent="0.25">
      <c r="B12" s="17" t="s">
        <v>1000</v>
      </c>
      <c r="C12" s="42">
        <v>70295</v>
      </c>
      <c r="D12">
        <f t="shared" si="0"/>
        <v>0</v>
      </c>
      <c r="E12" s="49"/>
    </row>
    <row r="13" spans="2:6" x14ac:dyDescent="0.25">
      <c r="B13" s="55" t="s">
        <v>1001</v>
      </c>
      <c r="C13" s="56">
        <v>600</v>
      </c>
      <c r="D13" s="57">
        <f t="shared" si="0"/>
        <v>0</v>
      </c>
      <c r="E13" s="58"/>
      <c r="F13" s="57"/>
    </row>
    <row r="14" spans="2:6" x14ac:dyDescent="0.25">
      <c r="B14" s="17" t="s">
        <v>1002</v>
      </c>
      <c r="C14" s="42">
        <v>6000</v>
      </c>
      <c r="D14">
        <f t="shared" si="0"/>
        <v>0</v>
      </c>
      <c r="E14" s="49"/>
    </row>
    <row r="15" spans="2:6" x14ac:dyDescent="0.25">
      <c r="B15" s="17"/>
      <c r="C15" s="43">
        <f>SUM(C12:C14)</f>
        <v>76895</v>
      </c>
      <c r="D15" s="16">
        <f t="shared" ref="D15" si="2">E15+F15</f>
        <v>0</v>
      </c>
      <c r="E15" s="51">
        <f t="shared" ref="E15" si="3">SUM(E12:E14)</f>
        <v>0</v>
      </c>
      <c r="F15" s="16">
        <f t="shared" ref="F15" si="4">SUM(F12:F14)</f>
        <v>0</v>
      </c>
    </row>
    <row r="16" spans="2:6" x14ac:dyDescent="0.25">
      <c r="B16" s="6"/>
      <c r="C16" s="41"/>
      <c r="E16" s="49"/>
    </row>
    <row r="17" spans="2:6" x14ac:dyDescent="0.25">
      <c r="B17" s="17" t="s">
        <v>490</v>
      </c>
      <c r="C17" s="42">
        <v>81920</v>
      </c>
      <c r="D17">
        <f t="shared" si="0"/>
        <v>0</v>
      </c>
      <c r="E17" s="49"/>
    </row>
    <row r="18" spans="2:6" x14ac:dyDescent="0.25">
      <c r="B18" s="55" t="s">
        <v>1003</v>
      </c>
      <c r="C18" s="56">
        <v>1900</v>
      </c>
      <c r="D18" s="57">
        <f t="shared" si="0"/>
        <v>0</v>
      </c>
      <c r="E18" s="58"/>
      <c r="F18" s="57"/>
    </row>
    <row r="19" spans="2:6" x14ac:dyDescent="0.25">
      <c r="B19" s="17" t="s">
        <v>1004</v>
      </c>
      <c r="C19" s="42">
        <v>6500</v>
      </c>
      <c r="D19">
        <f t="shared" si="0"/>
        <v>0</v>
      </c>
      <c r="E19" s="49"/>
    </row>
    <row r="20" spans="2:6" x14ac:dyDescent="0.25">
      <c r="B20" s="15"/>
      <c r="C20" s="43">
        <f>SUM(C17:C19)</f>
        <v>90320</v>
      </c>
      <c r="D20" s="16">
        <f t="shared" ref="D20" si="5">E20+F20</f>
        <v>0</v>
      </c>
      <c r="E20" s="51">
        <f t="shared" ref="E20" si="6">SUM(E17:E19)</f>
        <v>0</v>
      </c>
      <c r="F20" s="16">
        <f t="shared" ref="F20" si="7">SUM(F17:F19)</f>
        <v>0</v>
      </c>
    </row>
    <row r="21" spans="2:6" x14ac:dyDescent="0.25">
      <c r="B21" s="6"/>
      <c r="C21" s="41"/>
      <c r="E21" s="49"/>
    </row>
    <row r="22" spans="2:6" x14ac:dyDescent="0.25">
      <c r="B22" s="18" t="s">
        <v>1005</v>
      </c>
      <c r="C22" s="41">
        <f>C20+C15+C11</f>
        <v>622519.48</v>
      </c>
      <c r="D22" s="12">
        <f>D20+D15+D11</f>
        <v>0</v>
      </c>
      <c r="E22" s="52">
        <f>E20+E15+E11</f>
        <v>0</v>
      </c>
      <c r="F22" s="12">
        <f>F20+F15+F11</f>
        <v>0</v>
      </c>
    </row>
    <row r="23" spans="2:6" x14ac:dyDescent="0.25">
      <c r="B23" s="6"/>
      <c r="C23" s="41"/>
      <c r="E23" s="49"/>
    </row>
    <row r="24" spans="2:6" x14ac:dyDescent="0.25">
      <c r="B24" s="6"/>
      <c r="C24" s="41"/>
      <c r="E24" s="49"/>
    </row>
    <row r="25" spans="2:6" x14ac:dyDescent="0.25">
      <c r="B25" s="19" t="s">
        <v>1006</v>
      </c>
      <c r="C25" s="44" t="s">
        <v>1041</v>
      </c>
      <c r="D25" s="9" t="s">
        <v>1043</v>
      </c>
      <c r="E25" s="50" t="s">
        <v>1</v>
      </c>
      <c r="F25" s="9" t="s">
        <v>2</v>
      </c>
    </row>
    <row r="26" spans="2:6" x14ac:dyDescent="0.25">
      <c r="B26" s="20"/>
      <c r="C26" s="45"/>
      <c r="E26" s="49"/>
    </row>
    <row r="27" spans="2:6" x14ac:dyDescent="0.25">
      <c r="B27" s="21" t="s">
        <v>1007</v>
      </c>
      <c r="C27" s="45">
        <v>180096</v>
      </c>
      <c r="D27">
        <f t="shared" ref="D27:D32" si="8">E27+F27</f>
        <v>0</v>
      </c>
      <c r="E27" s="49"/>
    </row>
    <row r="28" spans="2:6" x14ac:dyDescent="0.25">
      <c r="B28" s="59" t="s">
        <v>1008</v>
      </c>
      <c r="C28" s="60">
        <v>3600.07</v>
      </c>
      <c r="D28" s="57">
        <f t="shared" si="8"/>
        <v>0</v>
      </c>
      <c r="E28" s="58"/>
      <c r="F28" s="57"/>
    </row>
    <row r="29" spans="2:6" x14ac:dyDescent="0.25">
      <c r="B29" s="59" t="s">
        <v>1009</v>
      </c>
      <c r="C29" s="60">
        <v>31117.472648112234</v>
      </c>
      <c r="D29" s="57">
        <f t="shared" si="8"/>
        <v>0</v>
      </c>
      <c r="E29" s="58"/>
      <c r="F29" s="57"/>
    </row>
    <row r="30" spans="2:6" x14ac:dyDescent="0.25">
      <c r="B30" s="59" t="s">
        <v>1010</v>
      </c>
      <c r="C30" s="60">
        <v>-6302</v>
      </c>
      <c r="D30" s="57">
        <f t="shared" si="8"/>
        <v>0</v>
      </c>
      <c r="E30" s="58"/>
      <c r="F30" s="57"/>
    </row>
    <row r="31" spans="2:6" x14ac:dyDescent="0.25">
      <c r="B31" s="59" t="s">
        <v>1011</v>
      </c>
      <c r="C31" s="60">
        <v>4000</v>
      </c>
      <c r="D31" s="57">
        <f t="shared" si="8"/>
        <v>0</v>
      </c>
      <c r="E31" s="58"/>
      <c r="F31" s="57"/>
    </row>
    <row r="32" spans="2:6" x14ac:dyDescent="0.25">
      <c r="B32" s="59" t="s">
        <v>1012</v>
      </c>
      <c r="C32" s="61"/>
      <c r="D32" s="57">
        <f t="shared" si="8"/>
        <v>0</v>
      </c>
      <c r="E32" s="58"/>
      <c r="F32" s="57"/>
    </row>
    <row r="33" spans="2:6" x14ac:dyDescent="0.25">
      <c r="B33" s="6"/>
      <c r="C33" s="41"/>
      <c r="E33" s="49"/>
    </row>
    <row r="34" spans="2:6" x14ac:dyDescent="0.25">
      <c r="B34" s="22" t="s">
        <v>1013</v>
      </c>
      <c r="C34" s="45"/>
      <c r="E34" s="49"/>
    </row>
    <row r="35" spans="2:6" x14ac:dyDescent="0.25">
      <c r="B35" s="6"/>
      <c r="C35" s="41"/>
      <c r="E35" s="49"/>
    </row>
    <row r="36" spans="2:6" x14ac:dyDescent="0.25">
      <c r="B36" s="59" t="s">
        <v>1014</v>
      </c>
      <c r="C36" s="60">
        <v>1673</v>
      </c>
      <c r="D36" s="57">
        <f t="shared" ref="D36:D42" si="9">E36+F36</f>
        <v>0</v>
      </c>
      <c r="E36" s="58"/>
      <c r="F36" s="57"/>
    </row>
    <row r="37" spans="2:6" x14ac:dyDescent="0.25">
      <c r="B37" s="59" t="s">
        <v>1015</v>
      </c>
      <c r="C37" s="60">
        <v>2000.44</v>
      </c>
      <c r="D37" s="57">
        <f t="shared" si="9"/>
        <v>0</v>
      </c>
      <c r="E37" s="58"/>
      <c r="F37" s="57"/>
    </row>
    <row r="38" spans="2:6" x14ac:dyDescent="0.25">
      <c r="B38" s="59" t="s">
        <v>1016</v>
      </c>
      <c r="C38" s="60">
        <v>254979.46000000005</v>
      </c>
      <c r="D38" s="57">
        <f t="shared" si="9"/>
        <v>0</v>
      </c>
      <c r="E38" s="58"/>
      <c r="F38" s="57"/>
    </row>
    <row r="39" spans="2:6" x14ac:dyDescent="0.25">
      <c r="B39" s="59" t="s">
        <v>1017</v>
      </c>
      <c r="C39" s="60">
        <v>-5854.9999999999991</v>
      </c>
      <c r="D39" s="57">
        <f t="shared" si="9"/>
        <v>0</v>
      </c>
      <c r="E39" s="58"/>
      <c r="F39" s="57"/>
    </row>
    <row r="40" spans="2:6" ht="26.25" x14ac:dyDescent="0.25">
      <c r="B40" s="62" t="s">
        <v>1018</v>
      </c>
      <c r="C40" s="60">
        <v>2016</v>
      </c>
      <c r="D40" s="57">
        <f t="shared" si="9"/>
        <v>0</v>
      </c>
      <c r="E40" s="58"/>
      <c r="F40" s="57"/>
    </row>
    <row r="41" spans="2:6" x14ac:dyDescent="0.25">
      <c r="B41" s="59" t="s">
        <v>1019</v>
      </c>
      <c r="C41" s="60">
        <v>2370</v>
      </c>
      <c r="D41" s="57">
        <f t="shared" si="9"/>
        <v>0</v>
      </c>
      <c r="E41" s="58"/>
      <c r="F41" s="57"/>
    </row>
    <row r="42" spans="2:6" x14ac:dyDescent="0.25">
      <c r="B42" s="59" t="s">
        <v>1020</v>
      </c>
      <c r="C42" s="60">
        <v>13496.13</v>
      </c>
      <c r="D42" s="57">
        <f t="shared" si="9"/>
        <v>0</v>
      </c>
      <c r="E42" s="58"/>
      <c r="F42" s="57"/>
    </row>
    <row r="43" spans="2:6" x14ac:dyDescent="0.25">
      <c r="B43" s="6"/>
      <c r="C43" s="41"/>
      <c r="E43" s="49"/>
    </row>
    <row r="44" spans="2:6" x14ac:dyDescent="0.25">
      <c r="B44" s="24" t="s">
        <v>1021</v>
      </c>
      <c r="C44" s="41">
        <f>SUM(C27:C42)</f>
        <v>483191.57264811231</v>
      </c>
      <c r="D44" s="12">
        <f t="shared" ref="D44:F44" si="10">SUM(D27:D42)</f>
        <v>0</v>
      </c>
      <c r="E44" s="52">
        <f t="shared" si="10"/>
        <v>0</v>
      </c>
      <c r="F44" s="12">
        <f t="shared" si="10"/>
        <v>0</v>
      </c>
    </row>
    <row r="45" spans="2:6" x14ac:dyDescent="0.25">
      <c r="B45" s="6"/>
      <c r="C45" s="41"/>
      <c r="E45" s="49"/>
    </row>
    <row r="46" spans="2:6" x14ac:dyDescent="0.25">
      <c r="B46" s="25" t="s">
        <v>1022</v>
      </c>
      <c r="C46" s="45"/>
      <c r="E46" s="49"/>
    </row>
    <row r="47" spans="2:6" x14ac:dyDescent="0.25">
      <c r="B47" s="20"/>
      <c r="C47" s="45"/>
      <c r="E47" s="49"/>
    </row>
    <row r="48" spans="2:6" x14ac:dyDescent="0.25">
      <c r="B48" s="63" t="s">
        <v>1023</v>
      </c>
      <c r="C48" s="60">
        <v>4750.2449999999999</v>
      </c>
      <c r="D48" s="57">
        <f t="shared" ref="D48:D55" si="11">E48+F48</f>
        <v>0</v>
      </c>
      <c r="E48" s="58"/>
      <c r="F48" s="57"/>
    </row>
    <row r="49" spans="2:6" x14ac:dyDescent="0.25">
      <c r="B49" s="59" t="s">
        <v>1024</v>
      </c>
      <c r="C49" s="60">
        <v>8206.1550237486335</v>
      </c>
      <c r="D49" s="57">
        <f t="shared" si="11"/>
        <v>0</v>
      </c>
      <c r="E49" s="58"/>
      <c r="F49" s="57"/>
    </row>
    <row r="50" spans="2:6" x14ac:dyDescent="0.25">
      <c r="B50" s="59" t="s">
        <v>1025</v>
      </c>
      <c r="C50" s="60">
        <v>12450.3896</v>
      </c>
      <c r="D50" s="57">
        <f t="shared" si="11"/>
        <v>0</v>
      </c>
      <c r="E50" s="58"/>
      <c r="F50" s="57"/>
    </row>
    <row r="51" spans="2:6" x14ac:dyDescent="0.25">
      <c r="B51" s="59" t="s">
        <v>1026</v>
      </c>
      <c r="C51" s="60">
        <v>21000</v>
      </c>
      <c r="D51" s="57">
        <f t="shared" si="11"/>
        <v>0</v>
      </c>
      <c r="E51" s="58"/>
      <c r="F51" s="57"/>
    </row>
    <row r="52" spans="2:6" x14ac:dyDescent="0.25">
      <c r="B52" s="64" t="s">
        <v>506</v>
      </c>
      <c r="C52" s="60">
        <v>3824.6919000000007</v>
      </c>
      <c r="D52" s="57">
        <f t="shared" si="11"/>
        <v>0</v>
      </c>
      <c r="E52" s="58"/>
      <c r="F52" s="57"/>
    </row>
    <row r="53" spans="2:6" x14ac:dyDescent="0.25">
      <c r="B53" s="59" t="s">
        <v>1027</v>
      </c>
      <c r="C53" s="60">
        <v>24417.75412033793</v>
      </c>
      <c r="D53" s="57">
        <f t="shared" si="11"/>
        <v>0</v>
      </c>
      <c r="E53" s="58"/>
      <c r="F53" s="57"/>
    </row>
    <row r="54" spans="2:6" x14ac:dyDescent="0.25">
      <c r="B54" s="64" t="s">
        <v>281</v>
      </c>
      <c r="C54" s="60">
        <v>820.05</v>
      </c>
      <c r="D54" s="57">
        <f t="shared" si="11"/>
        <v>0</v>
      </c>
      <c r="E54" s="58"/>
      <c r="F54" s="57"/>
    </row>
    <row r="55" spans="2:6" x14ac:dyDescent="0.25">
      <c r="B55" s="64" t="s">
        <v>1028</v>
      </c>
      <c r="C55" s="60">
        <v>759.73</v>
      </c>
      <c r="D55" s="57">
        <f t="shared" si="11"/>
        <v>0</v>
      </c>
      <c r="E55" s="58"/>
      <c r="F55" s="57"/>
    </row>
    <row r="56" spans="2:6" x14ac:dyDescent="0.25">
      <c r="B56" s="6"/>
      <c r="C56" s="41"/>
      <c r="E56" s="49"/>
    </row>
    <row r="57" spans="2:6" x14ac:dyDescent="0.25">
      <c r="B57" s="24" t="s">
        <v>1029</v>
      </c>
      <c r="C57" s="41">
        <f>SUM(C48:C56)</f>
        <v>76229.015644086554</v>
      </c>
      <c r="D57" s="12">
        <f t="shared" ref="D57:F57" si="12">SUM(D48:D56)</f>
        <v>0</v>
      </c>
      <c r="E57" s="52">
        <f t="shared" si="12"/>
        <v>0</v>
      </c>
      <c r="F57" s="12">
        <f t="shared" si="12"/>
        <v>0</v>
      </c>
    </row>
    <row r="58" spans="2:6" x14ac:dyDescent="0.25">
      <c r="B58" s="6"/>
      <c r="C58" s="41"/>
      <c r="E58" s="49"/>
    </row>
    <row r="59" spans="2:6" x14ac:dyDescent="0.25">
      <c r="B59" s="27" t="s">
        <v>1030</v>
      </c>
      <c r="C59" s="46">
        <f>C44+C57</f>
        <v>559420.58829219884</v>
      </c>
      <c r="D59" s="28">
        <f t="shared" ref="D59:F59" si="13">D44+D57</f>
        <v>0</v>
      </c>
      <c r="E59" s="53">
        <f t="shared" si="13"/>
        <v>0</v>
      </c>
      <c r="F59" s="28">
        <f t="shared" si="13"/>
        <v>0</v>
      </c>
    </row>
    <row r="60" spans="2:6" x14ac:dyDescent="0.25">
      <c r="B60" s="6"/>
      <c r="C60" s="41"/>
      <c r="E60" s="49"/>
    </row>
    <row r="61" spans="2:6" x14ac:dyDescent="0.25">
      <c r="B61" s="6" t="s">
        <v>1031</v>
      </c>
      <c r="C61" s="41"/>
      <c r="E61" s="49"/>
    </row>
    <row r="62" spans="2:6" x14ac:dyDescent="0.25">
      <c r="B62" s="6"/>
      <c r="C62" s="41"/>
      <c r="E62" s="49"/>
    </row>
    <row r="63" spans="2:6" x14ac:dyDescent="0.25">
      <c r="B63" s="29" t="s">
        <v>1032</v>
      </c>
      <c r="C63" s="47">
        <f>C22-C59</f>
        <v>63098.891707801144</v>
      </c>
      <c r="D63" s="11">
        <f t="shared" ref="D63:F63" si="14">D22-D59</f>
        <v>0</v>
      </c>
      <c r="E63" s="54">
        <f t="shared" si="14"/>
        <v>0</v>
      </c>
      <c r="F63" s="11">
        <f t="shared" si="14"/>
        <v>0</v>
      </c>
    </row>
    <row r="64" spans="2:6" x14ac:dyDescent="0.25">
      <c r="B64" s="6"/>
      <c r="C64" s="41"/>
      <c r="E64" s="49"/>
    </row>
    <row r="65" spans="2:6" x14ac:dyDescent="0.25">
      <c r="B65" s="6" t="s">
        <v>1033</v>
      </c>
      <c r="C65" s="41"/>
      <c r="E65" s="49"/>
    </row>
    <row r="66" spans="2:6" x14ac:dyDescent="0.25">
      <c r="B66" s="6"/>
      <c r="C66" s="41"/>
      <c r="E66" s="49"/>
    </row>
    <row r="67" spans="2:6" x14ac:dyDescent="0.25">
      <c r="B67" s="30" t="s">
        <v>1034</v>
      </c>
      <c r="C67" s="47">
        <f>C63-C65</f>
        <v>63098.891707801144</v>
      </c>
      <c r="D67" s="11">
        <f t="shared" ref="D67:F67" si="15">D63-D65</f>
        <v>0</v>
      </c>
      <c r="E67" s="54">
        <f t="shared" si="15"/>
        <v>0</v>
      </c>
      <c r="F67" s="11">
        <f t="shared" si="15"/>
        <v>0</v>
      </c>
    </row>
    <row r="68" spans="2:6" x14ac:dyDescent="0.25">
      <c r="B68" s="20"/>
      <c r="C68" s="48" t="s">
        <v>1042</v>
      </c>
      <c r="E68" s="49"/>
    </row>
    <row r="69" spans="2:6" x14ac:dyDescent="0.25">
      <c r="B69" s="31" t="s">
        <v>1035</v>
      </c>
      <c r="C69" s="48">
        <v>17590.666666666668</v>
      </c>
      <c r="E69" s="49"/>
    </row>
    <row r="70" spans="2:6" x14ac:dyDescent="0.25">
      <c r="B70" s="29" t="s">
        <v>1036</v>
      </c>
      <c r="C70" s="47">
        <f>C67-C69</f>
        <v>45508.225041134472</v>
      </c>
      <c r="D70" s="11">
        <f t="shared" ref="D70:F70" si="16">D67-D69</f>
        <v>0</v>
      </c>
      <c r="E70" s="54">
        <f t="shared" si="16"/>
        <v>0</v>
      </c>
      <c r="F70" s="11">
        <f t="shared" si="16"/>
        <v>0</v>
      </c>
    </row>
    <row r="71" spans="2:6" x14ac:dyDescent="0.25">
      <c r="B71" s="32"/>
      <c r="C71" s="45"/>
      <c r="E71" s="49"/>
    </row>
    <row r="72" spans="2:6" x14ac:dyDescent="0.25">
      <c r="B72" s="32"/>
      <c r="C72" s="45"/>
      <c r="E72" s="49"/>
    </row>
    <row r="73" spans="2:6" x14ac:dyDescent="0.25">
      <c r="B73" s="65" t="s">
        <v>1037</v>
      </c>
      <c r="C73" s="67">
        <f>C63/C59</f>
        <v>0.11279329547099735</v>
      </c>
      <c r="D73" s="68" t="e">
        <f t="shared" ref="D73:F73" si="17">D63/D59</f>
        <v>#DIV/0!</v>
      </c>
      <c r="E73" s="69" t="e">
        <f t="shared" si="17"/>
        <v>#DIV/0!</v>
      </c>
      <c r="F73" s="68" t="e">
        <f t="shared" si="17"/>
        <v>#DIV/0!</v>
      </c>
    </row>
    <row r="74" spans="2:6" x14ac:dyDescent="0.25">
      <c r="B74" s="33"/>
      <c r="C74" s="45"/>
      <c r="E74" s="49"/>
    </row>
    <row r="75" spans="2:6" x14ac:dyDescent="0.25">
      <c r="B75" s="65" t="s">
        <v>1038</v>
      </c>
      <c r="C75" s="60">
        <v>100000</v>
      </c>
      <c r="D75" s="57"/>
      <c r="E75" s="58"/>
      <c r="F75" s="57"/>
    </row>
    <row r="76" spans="2:6" x14ac:dyDescent="0.25">
      <c r="B76" s="65" t="s">
        <v>1039</v>
      </c>
      <c r="C76" s="60">
        <v>80000</v>
      </c>
      <c r="D76" s="57"/>
      <c r="E76" s="58"/>
      <c r="F76" s="57"/>
    </row>
    <row r="77" spans="2:6" x14ac:dyDescent="0.25">
      <c r="B77" s="65" t="s">
        <v>1040</v>
      </c>
      <c r="C77" s="66">
        <v>0.4550822504113447</v>
      </c>
      <c r="D77" s="57"/>
      <c r="E77" s="58"/>
      <c r="F77" s="5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7D4D-69D0-4C7A-87EB-F840342A9C15}">
  <dimension ref="C3:F75"/>
  <sheetViews>
    <sheetView workbookViewId="0">
      <selection activeCell="D25" sqref="D25"/>
    </sheetView>
  </sheetViews>
  <sheetFormatPr defaultRowHeight="15" x14ac:dyDescent="0.25"/>
  <cols>
    <col min="3" max="3" width="25.85546875" customWidth="1"/>
    <col min="4" max="4" width="14" bestFit="1" customWidth="1"/>
    <col min="5" max="5" width="14.85546875" bestFit="1" customWidth="1"/>
    <col min="6" max="6" width="16.140625" bestFit="1" customWidth="1"/>
  </cols>
  <sheetData>
    <row r="3" spans="3:6" x14ac:dyDescent="0.25">
      <c r="C3" t="s">
        <v>1045</v>
      </c>
      <c r="D3" s="36">
        <v>46303</v>
      </c>
      <c r="E3" s="36"/>
      <c r="F3" s="36"/>
    </row>
    <row r="4" spans="3:6" x14ac:dyDescent="0.25">
      <c r="C4" s="10" t="s">
        <v>996</v>
      </c>
      <c r="D4" t="s">
        <v>1048</v>
      </c>
      <c r="E4" t="s">
        <v>1046</v>
      </c>
      <c r="F4" t="s">
        <v>1047</v>
      </c>
    </row>
    <row r="5" spans="3:6" x14ac:dyDescent="0.25">
      <c r="C5" s="6"/>
    </row>
    <row r="6" spans="3:6" x14ac:dyDescent="0.25">
      <c r="C6" s="13" t="s">
        <v>997</v>
      </c>
    </row>
    <row r="7" spans="3:6" x14ac:dyDescent="0.25">
      <c r="C7" s="14" t="s">
        <v>998</v>
      </c>
    </row>
    <row r="8" spans="3:6" x14ac:dyDescent="0.25">
      <c r="C8" s="14" t="s">
        <v>999</v>
      </c>
    </row>
    <row r="9" spans="3:6" x14ac:dyDescent="0.25">
      <c r="C9" s="15"/>
    </row>
    <row r="10" spans="3:6" x14ac:dyDescent="0.25">
      <c r="C10" s="17" t="s">
        <v>1000</v>
      </c>
    </row>
    <row r="11" spans="3:6" x14ac:dyDescent="0.25">
      <c r="C11" s="17" t="s">
        <v>1001</v>
      </c>
    </row>
    <row r="12" spans="3:6" x14ac:dyDescent="0.25">
      <c r="C12" s="17" t="s">
        <v>1002</v>
      </c>
    </row>
    <row r="13" spans="3:6" x14ac:dyDescent="0.25">
      <c r="C13" s="17"/>
    </row>
    <row r="14" spans="3:6" x14ac:dyDescent="0.25">
      <c r="C14" s="6"/>
    </row>
    <row r="15" spans="3:6" x14ac:dyDescent="0.25">
      <c r="C15" s="17" t="s">
        <v>490</v>
      </c>
    </row>
    <row r="16" spans="3:6" x14ac:dyDescent="0.25">
      <c r="C16" s="17" t="s">
        <v>1003</v>
      </c>
    </row>
    <row r="17" spans="3:6" x14ac:dyDescent="0.25">
      <c r="C17" s="17" t="s">
        <v>1004</v>
      </c>
    </row>
    <row r="18" spans="3:6" x14ac:dyDescent="0.25">
      <c r="C18" s="15"/>
    </row>
    <row r="19" spans="3:6" x14ac:dyDescent="0.25">
      <c r="C19" s="6"/>
    </row>
    <row r="20" spans="3:6" x14ac:dyDescent="0.25">
      <c r="C20" s="18" t="s">
        <v>1005</v>
      </c>
    </row>
    <row r="21" spans="3:6" x14ac:dyDescent="0.25">
      <c r="C21" s="6"/>
    </row>
    <row r="22" spans="3:6" x14ac:dyDescent="0.25">
      <c r="C22" s="6"/>
      <c r="D22" s="36">
        <v>46303</v>
      </c>
      <c r="E22" s="36"/>
      <c r="F22" s="36"/>
    </row>
    <row r="23" spans="3:6" x14ac:dyDescent="0.25">
      <c r="C23" s="19" t="s">
        <v>1006</v>
      </c>
      <c r="D23" t="s">
        <v>1048</v>
      </c>
      <c r="E23" t="s">
        <v>1046</v>
      </c>
      <c r="F23" t="s">
        <v>1047</v>
      </c>
    </row>
    <row r="24" spans="3:6" x14ac:dyDescent="0.25">
      <c r="C24" s="20"/>
    </row>
    <row r="25" spans="3:6" x14ac:dyDescent="0.25">
      <c r="C25" s="21" t="s">
        <v>1007</v>
      </c>
    </row>
    <row r="26" spans="3:6" x14ac:dyDescent="0.25">
      <c r="C26" s="21" t="s">
        <v>1008</v>
      </c>
    </row>
    <row r="27" spans="3:6" x14ac:dyDescent="0.25">
      <c r="C27" s="21" t="s">
        <v>1009</v>
      </c>
    </row>
    <row r="28" spans="3:6" x14ac:dyDescent="0.25">
      <c r="C28" s="21" t="s">
        <v>1010</v>
      </c>
    </row>
    <row r="29" spans="3:6" x14ac:dyDescent="0.25">
      <c r="C29" s="21" t="s">
        <v>1011</v>
      </c>
    </row>
    <row r="30" spans="3:6" x14ac:dyDescent="0.25">
      <c r="C30" s="21" t="s">
        <v>1012</v>
      </c>
    </row>
    <row r="31" spans="3:6" x14ac:dyDescent="0.25">
      <c r="C31" s="6"/>
    </row>
    <row r="32" spans="3:6" x14ac:dyDescent="0.25">
      <c r="C32" s="22" t="s">
        <v>1013</v>
      </c>
    </row>
    <row r="33" spans="3:3" x14ac:dyDescent="0.25">
      <c r="C33" s="6"/>
    </row>
    <row r="34" spans="3:3" x14ac:dyDescent="0.25">
      <c r="C34" s="21" t="s">
        <v>1014</v>
      </c>
    </row>
    <row r="35" spans="3:3" x14ac:dyDescent="0.25">
      <c r="C35" s="21" t="s">
        <v>1015</v>
      </c>
    </row>
    <row r="36" spans="3:3" x14ac:dyDescent="0.25">
      <c r="C36" s="21" t="s">
        <v>1016</v>
      </c>
    </row>
    <row r="37" spans="3:3" x14ac:dyDescent="0.25">
      <c r="C37" s="21" t="s">
        <v>1017</v>
      </c>
    </row>
    <row r="38" spans="3:3" ht="39" x14ac:dyDescent="0.25">
      <c r="C38" s="23" t="s">
        <v>1018</v>
      </c>
    </row>
    <row r="39" spans="3:3" x14ac:dyDescent="0.25">
      <c r="C39" s="21" t="s">
        <v>1019</v>
      </c>
    </row>
    <row r="40" spans="3:3" x14ac:dyDescent="0.25">
      <c r="C40" s="21" t="s">
        <v>1020</v>
      </c>
    </row>
    <row r="41" spans="3:3" x14ac:dyDescent="0.25">
      <c r="C41" s="6"/>
    </row>
    <row r="42" spans="3:3" x14ac:dyDescent="0.25">
      <c r="C42" s="24" t="s">
        <v>1021</v>
      </c>
    </row>
    <row r="43" spans="3:3" x14ac:dyDescent="0.25">
      <c r="C43" s="6"/>
    </row>
    <row r="44" spans="3:3" x14ac:dyDescent="0.25">
      <c r="C44" s="25" t="s">
        <v>1022</v>
      </c>
    </row>
    <row r="45" spans="3:3" x14ac:dyDescent="0.25">
      <c r="C45" s="20"/>
    </row>
    <row r="46" spans="3:3" ht="26.25" x14ac:dyDescent="0.25">
      <c r="C46" s="26" t="s">
        <v>1023</v>
      </c>
    </row>
    <row r="47" spans="3:3" x14ac:dyDescent="0.25">
      <c r="C47" s="21" t="s">
        <v>1024</v>
      </c>
    </row>
    <row r="48" spans="3:3" x14ac:dyDescent="0.25">
      <c r="C48" s="21" t="s">
        <v>1025</v>
      </c>
    </row>
    <row r="49" spans="3:3" x14ac:dyDescent="0.25">
      <c r="C49" s="21" t="s">
        <v>1026</v>
      </c>
    </row>
    <row r="50" spans="3:3" x14ac:dyDescent="0.25">
      <c r="C50" s="20" t="s">
        <v>506</v>
      </c>
    </row>
    <row r="51" spans="3:3" x14ac:dyDescent="0.25">
      <c r="C51" s="21" t="s">
        <v>1027</v>
      </c>
    </row>
    <row r="52" spans="3:3" x14ac:dyDescent="0.25">
      <c r="C52" s="20" t="s">
        <v>281</v>
      </c>
    </row>
    <row r="53" spans="3:3" x14ac:dyDescent="0.25">
      <c r="C53" s="20" t="s">
        <v>1028</v>
      </c>
    </row>
    <row r="54" spans="3:3" x14ac:dyDescent="0.25">
      <c r="C54" s="6"/>
    </row>
    <row r="55" spans="3:3" x14ac:dyDescent="0.25">
      <c r="C55" s="24" t="s">
        <v>1029</v>
      </c>
    </row>
    <row r="56" spans="3:3" x14ac:dyDescent="0.25">
      <c r="C56" s="6"/>
    </row>
    <row r="57" spans="3:3" x14ac:dyDescent="0.25">
      <c r="C57" s="27" t="s">
        <v>1030</v>
      </c>
    </row>
    <row r="58" spans="3:3" x14ac:dyDescent="0.25">
      <c r="C58" s="6"/>
    </row>
    <row r="59" spans="3:3" x14ac:dyDescent="0.25">
      <c r="C59" s="6" t="s">
        <v>1031</v>
      </c>
    </row>
    <row r="60" spans="3:3" x14ac:dyDescent="0.25">
      <c r="C60" s="6"/>
    </row>
    <row r="61" spans="3:3" x14ac:dyDescent="0.25">
      <c r="C61" s="29" t="s">
        <v>1032</v>
      </c>
    </row>
    <row r="62" spans="3:3" x14ac:dyDescent="0.25">
      <c r="C62" s="6"/>
    </row>
    <row r="63" spans="3:3" x14ac:dyDescent="0.25">
      <c r="C63" s="6" t="s">
        <v>1033</v>
      </c>
    </row>
    <row r="64" spans="3:3" x14ac:dyDescent="0.25">
      <c r="C64" s="6"/>
    </row>
    <row r="65" spans="3:3" x14ac:dyDescent="0.25">
      <c r="C65" s="30" t="s">
        <v>1034</v>
      </c>
    </row>
    <row r="66" spans="3:3" x14ac:dyDescent="0.25">
      <c r="C66" s="20"/>
    </row>
    <row r="67" spans="3:3" x14ac:dyDescent="0.25">
      <c r="C67" s="31" t="s">
        <v>1035</v>
      </c>
    </row>
    <row r="68" spans="3:3" x14ac:dyDescent="0.25">
      <c r="C68" s="29" t="s">
        <v>1036</v>
      </c>
    </row>
    <row r="69" spans="3:3" x14ac:dyDescent="0.25">
      <c r="C69" s="32"/>
    </row>
    <row r="70" spans="3:3" x14ac:dyDescent="0.25">
      <c r="C70" s="32"/>
    </row>
    <row r="71" spans="3:3" x14ac:dyDescent="0.25">
      <c r="C71" s="33" t="s">
        <v>1037</v>
      </c>
    </row>
    <row r="72" spans="3:3" x14ac:dyDescent="0.25">
      <c r="C72" s="33"/>
    </row>
    <row r="73" spans="3:3" x14ac:dyDescent="0.25">
      <c r="C73" s="33" t="s">
        <v>1038</v>
      </c>
    </row>
    <row r="74" spans="3:3" x14ac:dyDescent="0.25">
      <c r="C74" s="33" t="s">
        <v>1039</v>
      </c>
    </row>
    <row r="75" spans="3:3" x14ac:dyDescent="0.25">
      <c r="C75" s="33" t="s">
        <v>1040</v>
      </c>
    </row>
  </sheetData>
  <mergeCells count="2">
    <mergeCell ref="D3:F3"/>
    <mergeCell ref="D22:F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D0C2-DBE5-4FB1-926E-0DB30564E5BF}">
  <dimension ref="A1"/>
  <sheetViews>
    <sheetView workbookViewId="0">
      <selection activeCell="L30" sqref="L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CAM2026.08_CONSOL.ALIGN</vt:lpstr>
      <vt:lpstr>RAW_EPLAZA</vt:lpstr>
      <vt:lpstr>RAW_IMPULSA</vt:lpstr>
      <vt:lpstr>AUDIT.PH1</vt:lpstr>
      <vt:lpstr>CONTROL</vt:lpstr>
      <vt:lpstr>FM</vt:lpstr>
      <vt:lpstr>Criterios</vt:lpstr>
      <vt:lpstr>AUDIT.PH2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SM</dc:creator>
  <cp:lastModifiedBy>Pablo San Martin</cp:lastModifiedBy>
  <dcterms:created xsi:type="dcterms:W3CDTF">2026-10-08T15:46:39Z</dcterms:created>
  <dcterms:modified xsi:type="dcterms:W3CDTF">2026-10-08T16:24:57Z</dcterms:modified>
</cp:coreProperties>
</file>